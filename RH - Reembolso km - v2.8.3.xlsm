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J:\Documentos\18. Metas\2022\Controle KM rodado\"/>
    </mc:Choice>
  </mc:AlternateContent>
  <workbookProtection workbookAlgorithmName="SHA-512" workbookHashValue="D0FLA1jLHv4f/quPokBDyhF/BKz2uzOYh8bHT6WYYLl3hsugVuhIvDd6OLHiQALRiMicRa9BPKdut8NFrYNdPQ==" workbookSaltValue="ykGBYuJxM+ApYeiK/8FNnw==" workbookSpinCount="100000" lockStructure="1"/>
  <bookViews>
    <workbookView xWindow="0" yWindow="0" windowWidth="20490" windowHeight="7620"/>
  </bookViews>
  <sheets>
    <sheet name="km" sheetId="1" r:id="rId1"/>
    <sheet name="tela2" sheetId="4" state="hidden" r:id="rId2"/>
    <sheet name="nomes" sheetId="2" r:id="rId3"/>
    <sheet name="historico" sheetId="5" state="hidden" r:id="rId4"/>
  </sheets>
  <definedNames>
    <definedName name="_xlnm._FilterDatabase" localSheetId="3" hidden="1">historico!$A$2:$O$5</definedName>
    <definedName name="_xlnm.Print_Area" localSheetId="3">historico!$A$1:$O$12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D3" i="1"/>
  <c r="C3" i="1"/>
  <c r="A3" i="1" l="1"/>
  <c r="C17" i="1" l="1"/>
  <c r="I3" i="1" l="1"/>
  <c r="I17" i="1" s="1"/>
</calcChain>
</file>

<file path=xl/comments1.xml><?xml version="1.0" encoding="utf-8"?>
<comments xmlns="http://schemas.openxmlformats.org/spreadsheetml/2006/main">
  <authors>
    <author>William Rosas</author>
  </authors>
  <commentList>
    <comment ref="E2" authorId="0" shapeId="0">
      <text>
        <r>
          <rPr>
            <b/>
            <sz val="10"/>
            <color indexed="81"/>
            <rFont val="Segoe UI"/>
            <family val="2"/>
          </rPr>
          <t>Opção de Duplo click na célula</t>
        </r>
        <r>
          <rPr>
            <sz val="10"/>
            <color indexed="81"/>
            <rFont val="Segoe UI"/>
            <family val="2"/>
          </rPr>
          <t xml:space="preserve"> para liberar o calendário.</t>
        </r>
      </text>
    </comment>
    <comment ref="F2" authorId="0" shapeId="0">
      <text>
        <r>
          <rPr>
            <b/>
            <sz val="10"/>
            <color indexed="81"/>
            <rFont val="Segoe UI"/>
            <family val="2"/>
          </rPr>
          <t xml:space="preserve">Opção de Duplo click na célula </t>
        </r>
        <r>
          <rPr>
            <sz val="10"/>
            <color indexed="81"/>
            <rFont val="Segoe UI"/>
            <family val="2"/>
          </rPr>
          <t>para liberar o calendário.</t>
        </r>
      </text>
    </comment>
  </commentList>
</comments>
</file>

<file path=xl/comments2.xml><?xml version="1.0" encoding="utf-8"?>
<comments xmlns="http://schemas.openxmlformats.org/spreadsheetml/2006/main">
  <authors>
    <author>William Rosas</author>
  </authors>
  <commentList>
    <comment ref="P1" authorId="0" shapeId="0">
      <text>
        <r>
          <rPr>
            <b/>
            <sz val="9"/>
            <color indexed="81"/>
            <rFont val="Segoe UI"/>
            <family val="2"/>
          </rPr>
          <t>William Rosas:</t>
        </r>
        <r>
          <rPr>
            <sz val="9"/>
            <color indexed="81"/>
            <rFont val="Segoe UI"/>
            <family val="2"/>
          </rPr>
          <t xml:space="preserve">
não apagar. Célula é utilizada na lógica,codificação</t>
        </r>
      </text>
    </comment>
  </commentList>
</comments>
</file>

<file path=xl/sharedStrings.xml><?xml version="1.0" encoding="utf-8"?>
<sst xmlns="http://schemas.openxmlformats.org/spreadsheetml/2006/main" count="495" uniqueCount="210">
  <si>
    <t>Colaborador</t>
  </si>
  <si>
    <t>Matrícula</t>
  </si>
  <si>
    <t>Setor</t>
  </si>
  <si>
    <t>Total de dias</t>
  </si>
  <si>
    <t>Valor do reembolso</t>
  </si>
  <si>
    <t xml:space="preserve">Valor do km rodado= </t>
  </si>
  <si>
    <t>REEMBOLSO KM</t>
  </si>
  <si>
    <t>Período (até:)</t>
  </si>
  <si>
    <t>Período (de:)</t>
  </si>
  <si>
    <t>COLABORADOR</t>
  </si>
  <si>
    <t>MATRÍCULA</t>
  </si>
  <si>
    <t>SETOR</t>
  </si>
  <si>
    <t>AMANDA DE MATOS SCARELLI</t>
  </si>
  <si>
    <t>EDMILSON PEREIRA DA SILVA</t>
  </si>
  <si>
    <t>REGIANE RIBEIRO DE MENDONCA</t>
  </si>
  <si>
    <t>ROBSON ALVES DE SOUZA</t>
  </si>
  <si>
    <t>SARA DENISE AMORIM DA CONCEICAO</t>
  </si>
  <si>
    <t>FRANCISCO LIRA DA SILVA</t>
  </si>
  <si>
    <t>LIANDERSON DOS SANTOS PENHA</t>
  </si>
  <si>
    <t>AGNALDO COMIN</t>
  </si>
  <si>
    <t>AUGUSTO JOSE FERREIRA DOS SANTOS</t>
  </si>
  <si>
    <t>CLERIO CARLOS BARBOSA DA SILVA</t>
  </si>
  <si>
    <t>EDENILSON ALVES DE SOUZA</t>
  </si>
  <si>
    <t>ELIAS LANDIM DE OLIVEIRA</t>
  </si>
  <si>
    <t>EVERSON APARECIDO NERI</t>
  </si>
  <si>
    <t>JOSICLEI DE LIMA</t>
  </si>
  <si>
    <t>MIGUEL LUIS INOCENCIO</t>
  </si>
  <si>
    <t>MURILO MARCEL GADIOLLI</t>
  </si>
  <si>
    <t>RENATO INOCENCIO NICOLAU</t>
  </si>
  <si>
    <t>VALDILEI DE ALMEIDA</t>
  </si>
  <si>
    <t>ALEX SANDRO NOGUEIRA</t>
  </si>
  <si>
    <t>ANDRE DOS SANTOS</t>
  </si>
  <si>
    <t>CRISTOVAO ALVES DA SILVA</t>
  </si>
  <si>
    <t>ERICK LUAN BEZERRA DE LIMA</t>
  </si>
  <si>
    <t>FERNANDO SALVIANO DA SILVA</t>
  </si>
  <si>
    <t>FRANCISCO FERNANDES LAURENTINO</t>
  </si>
  <si>
    <t>GILTON CRISTIANO NOGUEIRA</t>
  </si>
  <si>
    <t>JEFFERSON ALEX DE SOUZA</t>
  </si>
  <si>
    <t>JORGE ARMANDO CAMARGO</t>
  </si>
  <si>
    <t>JULIANO EUSEBIO DA SILVA</t>
  </si>
  <si>
    <t>RAFAEL CARNEIRO DOS SANTOS</t>
  </si>
  <si>
    <t>RAPHAEL SILVA LEDO</t>
  </si>
  <si>
    <t>THIAGO DA SILVA VERAS</t>
  </si>
  <si>
    <t>THIAGO DE CARVALHO</t>
  </si>
  <si>
    <t>ALBERTO ZOMIGNAN</t>
  </si>
  <si>
    <t>ANDERSON AUGUSTO SANTOS BELO</t>
  </si>
  <si>
    <t>ANTONIO CARLOS XAVIER DE SOUSA</t>
  </si>
  <si>
    <t>ANTONIO DE ALMEIDA</t>
  </si>
  <si>
    <t>CARLOS EDUARDO DA CONCEIÇÃO</t>
  </si>
  <si>
    <t>FABIO DA COSTA RODRIGUES</t>
  </si>
  <si>
    <t>FABIO MARCOS MAIA VIEIRA</t>
  </si>
  <si>
    <t>FILIPI DE OLIVEIRA PASSOS</t>
  </si>
  <si>
    <t>GABRIEL PEREIRA</t>
  </si>
  <si>
    <t>ISAAC FERREIRA FILHO</t>
  </si>
  <si>
    <t>MATHEUS TERTULIANO MACEDO</t>
  </si>
  <si>
    <t>MIGUEL FRANCISCO DOS SANTOS NETTO</t>
  </si>
  <si>
    <t>MURILO HENRIQUE VIANA DE OLIVEIRA</t>
  </si>
  <si>
    <t>PAULO CESAR LUIS PRADO</t>
  </si>
  <si>
    <t>PAULO RICARDO DA CONCEIÇÃO</t>
  </si>
  <si>
    <t>RENAN ROSSI</t>
  </si>
  <si>
    <t>RICARDO VANZELLA DOMINGUES</t>
  </si>
  <si>
    <t>ROGERIO GONZAGA DE CARVALHO</t>
  </si>
  <si>
    <t>CHARLES ATAEL CLARINDO GONÇALVES</t>
  </si>
  <si>
    <t>CRISTIANO ALVES DOS SANTOS</t>
  </si>
  <si>
    <t>DANILO AUGUSTO APARECIDO PIERAZO</t>
  </si>
  <si>
    <t>DANILO DINIZ FONSECA</t>
  </si>
  <si>
    <t>EBRAN LINCON MARCATTI</t>
  </si>
  <si>
    <t>FABIO RODRIGUES DA SILVA</t>
  </si>
  <si>
    <t>GEOVANY GUSTAVO LEAO GOMES</t>
  </si>
  <si>
    <t>GIVANIL DE OLIVEIRA DORTA</t>
  </si>
  <si>
    <t>GUILHERME RAMOS PASSADOR</t>
  </si>
  <si>
    <t>GUSTAVO ROVERI FORNAZARI</t>
  </si>
  <si>
    <t>JOAO CARLOS NOGUEIRA</t>
  </si>
  <si>
    <t>JOELINO DA CRUZ NASCIMENTO</t>
  </si>
  <si>
    <t>JOSE RAIMUNDO SUBRINHO</t>
  </si>
  <si>
    <t>LUCAS BARBOSA DA SILVA</t>
  </si>
  <si>
    <t>LUCAS GUSTAVO DO NASCIMENTO</t>
  </si>
  <si>
    <t>OSMAR FERNANDES CHAGAS JUNIOR</t>
  </si>
  <si>
    <t>RAFAEL JOSE CARRARO</t>
  </si>
  <si>
    <t>DOMINGOS DOS SANTOS OLIVEIRA JUNIOR</t>
  </si>
  <si>
    <t>GILMAR DA ROCHA</t>
  </si>
  <si>
    <t>MAURO ROBERTO OLIVEIRA GAMA</t>
  </si>
  <si>
    <t>ALESSANDRO VENTRIZ</t>
  </si>
  <si>
    <t>CLAUDEMAR ANTONIO OSTROVSKI</t>
  </si>
  <si>
    <t>FERNANDO ALVES DE ALMEIDA</t>
  </si>
  <si>
    <t>JONATAS SILVA DE OLIVEIRA</t>
  </si>
  <si>
    <t>MATHEUS CHIARETTI</t>
  </si>
  <si>
    <t>AGNALDO CHAVES PEREIRA</t>
  </si>
  <si>
    <t>ARLEI SOARES XAVIER</t>
  </si>
  <si>
    <t>CELSO GONÇALVES</t>
  </si>
  <si>
    <t>LUCAS APARECIDO DE CASTRO</t>
  </si>
  <si>
    <t>MARCELO CICERO FRANCO</t>
  </si>
  <si>
    <t>RAFAEL WILLIAM CAMARGO</t>
  </si>
  <si>
    <t>THIAGO PLACIDINO</t>
  </si>
  <si>
    <t>LAZARO ANTONIO APOLINARIO</t>
  </si>
  <si>
    <t>ADINAN RICARDO MARTINS</t>
  </si>
  <si>
    <t>EDINALDO JOSE OLIVEIRA SILVA</t>
  </si>
  <si>
    <t>EDSON CARDOSO DA COSTA</t>
  </si>
  <si>
    <t>FRANCISCO VASCONCELOS PEREIRA</t>
  </si>
  <si>
    <t>JOAO GABRIEL NARCISO SILVA</t>
  </si>
  <si>
    <t>LEONARDO GUIMARAES PEREIRA</t>
  </si>
  <si>
    <t>MOIZES LUIS INOCENCIO</t>
  </si>
  <si>
    <t>WAGNER PICCIANO</t>
  </si>
  <si>
    <t>AUGUSTO PEREIRA ALVES</t>
  </si>
  <si>
    <t>FABIO ALVES SIQUEIRA</t>
  </si>
  <si>
    <t>ROGERIO DE JESUS CUMIN</t>
  </si>
  <si>
    <t>WILLIAM AMADEU</t>
  </si>
  <si>
    <t>FABIO HIDEKI KIYOHASHI</t>
  </si>
  <si>
    <t>LUCAS FERMIANO NICOLAU</t>
  </si>
  <si>
    <t>THIAGO RAFAEL BE</t>
  </si>
  <si>
    <t>ANTONIO VIEIRA DO NASCIMENTO FONSECA</t>
  </si>
  <si>
    <t>MANOEL SOARES DE OLIVEIRA</t>
  </si>
  <si>
    <t>SANDRO DOS SANTOS</t>
  </si>
  <si>
    <t>TALES MUNIZ BRANDAO</t>
  </si>
  <si>
    <t>CESAR TREVISAN CUNHA QUEIROZ</t>
  </si>
  <si>
    <t>EDNEI MONTEIRO DE SOUZA</t>
  </si>
  <si>
    <t>FREDERICO NAVILLE PRADO</t>
  </si>
  <si>
    <t>RAFAEL FERRARI</t>
  </si>
  <si>
    <t>RENATO CORRADINI DI PIETRO</t>
  </si>
  <si>
    <t>RICARDO BARBOSA DOS SANTOS</t>
  </si>
  <si>
    <t>RICARDO RUZZA</t>
  </si>
  <si>
    <t>RODRIGO COLASANTO BENEDICTO</t>
  </si>
  <si>
    <t>NILSON HONORIO</t>
  </si>
  <si>
    <t>THIAGO HENRIQUE DA SILVA</t>
  </si>
  <si>
    <t>VINICIUS VIEIRA DOS SANTOS</t>
  </si>
  <si>
    <t>WILLIAM WAGNER ROSAS</t>
  </si>
  <si>
    <t>ANA CRISTINA SILVA DE MATOS</t>
  </si>
  <si>
    <t>CESAR FAJARDO DOS SANTOS</t>
  </si>
  <si>
    <t>CLAUDIO LUIZ DE SOUSA</t>
  </si>
  <si>
    <t>Jefferson Barsotti</t>
  </si>
  <si>
    <t>Jose Carlos Gasparini</t>
  </si>
  <si>
    <t>ROGERIO DE SOUZA</t>
  </si>
  <si>
    <t>THAIS MATOS DA SILVA</t>
  </si>
  <si>
    <t>Waldemir Machado da Silva</t>
  </si>
  <si>
    <t>DIEGO BENEDICTO</t>
  </si>
  <si>
    <t>MARCEL ROBERTO CARRILHO</t>
  </si>
  <si>
    <t>RODRIGO ZOMIGNANI</t>
  </si>
  <si>
    <t>ALEXANDRE HENRIQUE ALVES DOS SANTOS</t>
  </si>
  <si>
    <t>HUDSON ROBERTO DOS SANTOS</t>
  </si>
  <si>
    <t>ALAN MADEIRA DE SÁ</t>
  </si>
  <si>
    <t>EDILSON CERIONI</t>
  </si>
  <si>
    <t>GABRIEL GOMES DA FONSECA</t>
  </si>
  <si>
    <t>LUCIO DIAS DOS SANTOS</t>
  </si>
  <si>
    <t>RAIMUNDO BARBOSA DE SOUZA</t>
  </si>
  <si>
    <t>ANDERSON POSSANI</t>
  </si>
  <si>
    <t>ARMANDO LEONE JUNIOR</t>
  </si>
  <si>
    <t>CARLOS ALBERTO ZEPTSK</t>
  </si>
  <si>
    <t>FRANCESCO MARINO ISOLA</t>
  </si>
  <si>
    <t>IRNAR MENDES DE MOURA</t>
  </si>
  <si>
    <t>JOAO MARCOS RUFATO</t>
  </si>
  <si>
    <t>JOSE CARLOS CANCIAN</t>
  </si>
  <si>
    <t>MARCELO ANTUNES DA SILVA</t>
  </si>
  <si>
    <t>MARCO AURÉLIO DE ALMEIDA</t>
  </si>
  <si>
    <t>MARCOS ANTONIO DE JESUS</t>
  </si>
  <si>
    <t>MARCOS FUKUSHIMA</t>
  </si>
  <si>
    <t>MIGUEL LUIZ DA SILVA</t>
  </si>
  <si>
    <t>VALTER LUIZ RIBEIRO</t>
  </si>
  <si>
    <t>VITOR HUGO DO NASCIMENTO</t>
  </si>
  <si>
    <t>VLADIMIR TADEU GIORDANO</t>
  </si>
  <si>
    <t>ALEXSANDRO CASSIANO DO NASCIMENTO</t>
  </si>
  <si>
    <t>DELMO RAMOS</t>
  </si>
  <si>
    <t>EDILSON TEIXEIRA SOARES</t>
  </si>
  <si>
    <t>HENRIQUE DE SOUSA PINTO</t>
  </si>
  <si>
    <t>JEFFERSON DE JESUS COUTO</t>
  </si>
  <si>
    <t>JOAO ALVES BARBERINO FILHO</t>
  </si>
  <si>
    <t>JORGE ALBERTO RUIZ</t>
  </si>
  <si>
    <t>JORGE APARECIDO DO PRADO GOMES</t>
  </si>
  <si>
    <t>LEONARDO COLLIRI</t>
  </si>
  <si>
    <t>LINCOLN RODRIGO DE SOUZA</t>
  </si>
  <si>
    <t>VALDEMIR LIMA GALIPHE</t>
  </si>
  <si>
    <t>RH</t>
  </si>
  <si>
    <t>FUNDIÇÃO</t>
  </si>
  <si>
    <t>CALDEIRARIA</t>
  </si>
  <si>
    <t>USINAGEM</t>
  </si>
  <si>
    <t>MONTAGEM</t>
  </si>
  <si>
    <t>PINTURA</t>
  </si>
  <si>
    <t>MANUTENÇÃO</t>
  </si>
  <si>
    <t>ALMOXARIFADO</t>
  </si>
  <si>
    <t>GERÊNCIA INDUSTRIAL</t>
  </si>
  <si>
    <t>REFORMA</t>
  </si>
  <si>
    <t>A.T.</t>
  </si>
  <si>
    <t>PCP</t>
  </si>
  <si>
    <t>OUTROS</t>
  </si>
  <si>
    <t>ENGENHARIA</t>
  </si>
  <si>
    <t>PROCESSOS</t>
  </si>
  <si>
    <t>ADM</t>
  </si>
  <si>
    <t>COMPRAS</t>
  </si>
  <si>
    <t>TI</t>
  </si>
  <si>
    <t>OBRAS</t>
  </si>
  <si>
    <t>COMERCIAL</t>
  </si>
  <si>
    <t>TÉCNICA</t>
  </si>
  <si>
    <t>Destinatários emails:</t>
  </si>
  <si>
    <t>O QUE DESEJA EDITAR?</t>
  </si>
  <si>
    <t>Data da solicitação</t>
  </si>
  <si>
    <t>REEMBOLSO DE KM</t>
  </si>
  <si>
    <t>Período 
(de:)</t>
  </si>
  <si>
    <t>PROJETOS</t>
  </si>
  <si>
    <t xml:space="preserve">DIEGO DE MORAIS REZENDE </t>
  </si>
  <si>
    <t>ESTER CRISTINE SILVA DE OLIVERA</t>
  </si>
  <si>
    <t>MARTINHO DOS SANTOS OLIVEIRA NETO</t>
  </si>
  <si>
    <t>JOAO VITOR VIEIRA SILVA</t>
  </si>
  <si>
    <t>VALMIR PAULINO DE AZEVEDO</t>
  </si>
  <si>
    <t>THIAGO FERNANDO DE AZEVEDO</t>
  </si>
  <si>
    <t>DAVI ALVES</t>
  </si>
  <si>
    <t>RONALDO BATISTA DA SILVA</t>
  </si>
  <si>
    <t>CLEBER DONIZETTI BARRETO</t>
  </si>
  <si>
    <t>sara.conceicao@prensajundiai.com; amanda.scarelli@prensajundiai.com; lucas.rodrigues@prensajundiai.com; lucia@prensajundiai.com</t>
  </si>
  <si>
    <t>Km rodado por dia (ida e volta)</t>
  </si>
  <si>
    <r>
      <t xml:space="preserve">Km rodado </t>
    </r>
    <r>
      <rPr>
        <b/>
        <sz val="11"/>
        <color rgb="FFC00000"/>
        <rFont val="Calibri"/>
        <family val="2"/>
        <scheme val="minor"/>
      </rPr>
      <t>por dia (ida e volta)</t>
    </r>
  </si>
  <si>
    <r>
      <t xml:space="preserve">Necessidade:
</t>
    </r>
    <r>
      <rPr>
        <b/>
        <sz val="10"/>
        <color theme="1"/>
        <rFont val="Calibri"/>
        <family val="2"/>
        <scheme val="minor"/>
      </rPr>
      <t>Turno / Banco / Serviço Externo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</si>
</sst>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&quot;R$&quot;* #,##0_);_(&quot;R$&quot;* \(#,##0\);_(&quot;R$&quot;* &quot;-&quot;_);_(@_)"/>
    <numFmt numFmtId="165" formatCode="_(* #,##0_);_(* \(#,##0\);_(* &quot;-&quot;_);_(@_)"/>
    <numFmt numFmtId="166" formatCode="_(&quot;R$&quot;* #,##0.00_);_(&quot;R$&quot;* \(#,##0.00\);_(&quot;R$&quot;* &quot;-&quot;??_);_(@_)"/>
    <numFmt numFmtId="167" formatCode="_(* #,##0.00_);_(* \(#,##0.00\);_(* &quot;-&quot;??_);_(@_)"/>
    <numFmt numFmtId="168" formatCode="00000"/>
    <numFmt numFmtId="169" formatCode="0000"/>
    <numFmt numFmtId="170" formatCode="#####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1"/>
    </font>
    <font>
      <sz val="8"/>
      <color rgb="FF000000"/>
      <name val="Arial"/>
      <family val="1"/>
    </font>
    <font>
      <b/>
      <sz val="8"/>
      <color rgb="FF000000"/>
      <name val="Arial"/>
      <family val="1"/>
    </font>
    <font>
      <sz val="7"/>
      <color rgb="FF000000"/>
      <name val="Arial"/>
      <family val="1"/>
    </font>
    <font>
      <b/>
      <sz val="14"/>
      <color rgb="FF000000"/>
      <name val="Arial"/>
      <family val="1"/>
    </font>
    <font>
      <b/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color rgb="FFC00000"/>
      <name val="Calibri"/>
      <family val="2"/>
      <scheme val="minor"/>
    </font>
    <font>
      <b/>
      <sz val="18"/>
      <color theme="9"/>
      <name val="Webdings"/>
      <family val="1"/>
      <charset val="2"/>
    </font>
    <font>
      <sz val="18"/>
      <color theme="9"/>
      <name val="Webdings"/>
      <family val="1"/>
      <charset val="2"/>
    </font>
    <font>
      <b/>
      <sz val="16"/>
      <color theme="5"/>
      <name val="Webdings"/>
      <family val="1"/>
      <charset val="2"/>
    </font>
    <font>
      <sz val="16"/>
      <color theme="5"/>
      <name val="Webdings"/>
      <family val="1"/>
      <charset val="2"/>
    </font>
    <font>
      <b/>
      <sz val="16"/>
      <color rgb="FFFF0000"/>
      <name val="Webdings"/>
      <family val="1"/>
      <charset val="2"/>
    </font>
    <font>
      <sz val="16"/>
      <color rgb="FFFF0000"/>
      <name val="Webdings"/>
      <family val="1"/>
      <charset val="2"/>
    </font>
    <font>
      <b/>
      <sz val="16"/>
      <color theme="1"/>
      <name val="Webdings"/>
      <family val="1"/>
      <charset val="2"/>
    </font>
    <font>
      <sz val="16"/>
      <color theme="1"/>
      <name val="Webdings"/>
      <family val="1"/>
      <charset val="2"/>
    </font>
    <font>
      <b/>
      <sz val="10"/>
      <color theme="1"/>
      <name val="Calibri"/>
      <family val="2"/>
      <scheme val="minor"/>
    </font>
    <font>
      <b/>
      <sz val="14"/>
      <color theme="5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15">
    <xf numFmtId="0" fontId="0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5" applyNumberFormat="0" applyAlignment="0" applyProtection="0"/>
    <xf numFmtId="0" fontId="20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3" borderId="6" xfId="0" applyFont="1" applyFill="1" applyBorder="1" applyAlignment="1">
      <alignment horizontal="center" vertical="center" wrapText="1"/>
    </xf>
    <xf numFmtId="14" fontId="9" fillId="3" borderId="6" xfId="0" applyNumberFormat="1" applyFont="1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/>
    </xf>
    <xf numFmtId="1" fontId="0" fillId="9" borderId="6" xfId="0" applyNumberFormat="1" applyFill="1" applyBorder="1" applyAlignment="1">
      <alignment horizontal="center"/>
    </xf>
    <xf numFmtId="166" fontId="0" fillId="9" borderId="6" xfId="0" applyNumberFormat="1" applyFill="1" applyBorder="1"/>
    <xf numFmtId="0" fontId="0" fillId="9" borderId="6" xfId="0" applyFill="1" applyBorder="1"/>
    <xf numFmtId="14" fontId="0" fillId="9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right"/>
    </xf>
    <xf numFmtId="14" fontId="0" fillId="8" borderId="6" xfId="0" applyNumberFormat="1" applyFill="1" applyBorder="1" applyAlignment="1" applyProtection="1">
      <alignment horizontal="center"/>
      <protection locked="0"/>
    </xf>
    <xf numFmtId="0" fontId="0" fillId="8" borderId="6" xfId="0" applyFill="1" applyBorder="1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0" borderId="0" xfId="0" applyProtection="1">
      <protection locked="0"/>
    </xf>
    <xf numFmtId="0" fontId="16" fillId="0" borderId="0" xfId="0" applyFont="1" applyProtection="1">
      <protection locked="0"/>
    </xf>
    <xf numFmtId="0" fontId="11" fillId="0" borderId="0" xfId="5" applyNumberFormat="1" applyFont="1" applyAlignment="1" applyProtection="1">
      <alignment horizontal="left"/>
      <protection locked="0"/>
    </xf>
    <xf numFmtId="0" fontId="11" fillId="0" borderId="0" xfId="6" applyFont="1" applyBorder="1" applyAlignment="1" applyProtection="1">
      <alignment horizontal="left"/>
      <protection locked="0"/>
    </xf>
    <xf numFmtId="14" fontId="11" fillId="0" borderId="0" xfId="4" applyNumberFormat="1" applyFont="1" applyAlignment="1" applyProtection="1">
      <alignment horizontal="left"/>
      <protection locked="0"/>
    </xf>
    <xf numFmtId="0" fontId="12" fillId="0" borderId="0" xfId="1" applyNumberFormat="1" applyFont="1" applyAlignment="1" applyProtection="1">
      <alignment horizontal="left"/>
      <protection locked="0"/>
    </xf>
    <xf numFmtId="168" fontId="12" fillId="0" borderId="0" xfId="3" applyNumberFormat="1" applyFont="1" applyAlignment="1" applyProtection="1">
      <alignment horizontal="left"/>
      <protection locked="0"/>
    </xf>
    <xf numFmtId="0" fontId="13" fillId="0" borderId="0" xfId="2" applyNumberFormat="1" applyFont="1" applyAlignment="1" applyProtection="1">
      <alignment horizontal="left"/>
      <protection locked="0"/>
    </xf>
    <xf numFmtId="169" fontId="10" fillId="0" borderId="0" xfId="13" applyNumberFormat="1" applyFont="1" applyFill="1" applyBorder="1" applyAlignment="1" applyProtection="1">
      <alignment horizontal="left"/>
      <protection locked="0"/>
    </xf>
    <xf numFmtId="0" fontId="10" fillId="0" borderId="0" xfId="11" applyFont="1" applyFill="1" applyAlignment="1" applyProtection="1">
      <alignment horizontal="right"/>
      <protection locked="0"/>
    </xf>
    <xf numFmtId="170" fontId="10" fillId="0" borderId="0" xfId="10" applyNumberFormat="1" applyFont="1" applyFill="1" applyAlignment="1" applyProtection="1">
      <alignment horizontal="right"/>
      <protection locked="0"/>
    </xf>
    <xf numFmtId="0" fontId="14" fillId="0" borderId="0" xfId="9" applyFont="1" applyAlignment="1" applyProtection="1">
      <alignment horizontal="center"/>
      <protection locked="0"/>
    </xf>
    <xf numFmtId="0" fontId="10" fillId="0" borderId="0" xfId="8" applyFont="1" applyBorder="1" applyAlignment="1" applyProtection="1">
      <alignment horizontal="center"/>
      <protection locked="0"/>
    </xf>
    <xf numFmtId="0" fontId="10" fillId="0" borderId="0" xfId="7" applyFont="1" applyBorder="1" applyAlignment="1" applyProtection="1">
      <alignment horizontal="left"/>
      <protection locked="0"/>
    </xf>
    <xf numFmtId="0" fontId="10" fillId="0" borderId="0" xfId="12" applyFont="1" applyFill="1" applyAlignment="1" applyProtection="1">
      <alignment horizontal="left"/>
      <protection locked="0"/>
    </xf>
    <xf numFmtId="166" fontId="0" fillId="2" borderId="7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9" fillId="10" borderId="0" xfId="0" applyFont="1" applyFill="1" applyBorder="1" applyAlignment="1">
      <alignment horizontal="right"/>
    </xf>
    <xf numFmtId="166" fontId="9" fillId="2" borderId="6" xfId="0" applyNumberFormat="1" applyFont="1" applyFill="1" applyBorder="1" applyAlignment="1">
      <alignment horizontal="right"/>
    </xf>
    <xf numFmtId="0" fontId="0" fillId="11" borderId="0" xfId="0" applyFill="1" applyProtection="1"/>
    <xf numFmtId="0" fontId="0" fillId="11" borderId="0" xfId="0" applyFill="1"/>
    <xf numFmtId="14" fontId="0" fillId="0" borderId="0" xfId="0" applyNumberFormat="1"/>
    <xf numFmtId="14" fontId="0" fillId="9" borderId="6" xfId="0" applyNumberFormat="1" applyFill="1" applyBorder="1"/>
    <xf numFmtId="0" fontId="9" fillId="13" borderId="0" xfId="0" applyFont="1" applyFill="1"/>
    <xf numFmtId="0" fontId="0" fillId="0" borderId="0" xfId="0" applyFont="1"/>
    <xf numFmtId="0" fontId="23" fillId="0" borderId="0" xfId="5" applyNumberFormat="1" applyFont="1" applyAlignment="1" applyProtection="1">
      <alignment horizontal="left"/>
      <protection locked="0"/>
    </xf>
    <xf numFmtId="0" fontId="23" fillId="0" borderId="2" xfId="6" applyFont="1" applyFill="1" applyAlignment="1" applyProtection="1">
      <alignment horizontal="left"/>
      <protection locked="0"/>
    </xf>
    <xf numFmtId="0" fontId="23" fillId="0" borderId="0" xfId="5" applyNumberFormat="1" applyFont="1" applyBorder="1" applyAlignment="1" applyProtection="1">
      <alignment horizontal="left"/>
      <protection locked="0"/>
    </xf>
    <xf numFmtId="0" fontId="23" fillId="0" borderId="0" xfId="6" applyFont="1" applyFill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11" fillId="0" borderId="2" xfId="6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 vertical="center"/>
      <protection locked="0"/>
    </xf>
    <xf numFmtId="0" fontId="20" fillId="0" borderId="0" xfId="14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166" fontId="0" fillId="2" borderId="1" xfId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26" fillId="12" borderId="0" xfId="0" applyFont="1" applyFill="1" applyBorder="1" applyAlignment="1">
      <alignment vertical="center"/>
    </xf>
    <xf numFmtId="0" fontId="26" fillId="3" borderId="0" xfId="0" applyFont="1" applyFill="1"/>
    <xf numFmtId="0" fontId="26" fillId="13" borderId="0" xfId="0" applyFont="1" applyFill="1"/>
    <xf numFmtId="0" fontId="27" fillId="0" borderId="0" xfId="0" applyFont="1" applyAlignment="1">
      <alignment horizontal="center"/>
    </xf>
    <xf numFmtId="0" fontId="28" fillId="12" borderId="0" xfId="0" applyFont="1" applyFill="1" applyBorder="1" applyAlignment="1">
      <alignment vertical="center"/>
    </xf>
    <xf numFmtId="0" fontId="30" fillId="12" borderId="0" xfId="0" applyFont="1" applyFill="1" applyBorder="1" applyAlignment="1">
      <alignment vertical="center"/>
    </xf>
    <xf numFmtId="14" fontId="9" fillId="9" borderId="0" xfId="0" applyNumberFormat="1" applyFont="1" applyFill="1" applyBorder="1" applyAlignment="1" applyProtection="1">
      <alignment horizontal="center"/>
    </xf>
    <xf numFmtId="0" fontId="9" fillId="8" borderId="0" xfId="0" applyFont="1" applyFill="1" applyBorder="1" applyProtection="1"/>
    <xf numFmtId="0" fontId="9" fillId="9" borderId="0" xfId="0" applyFont="1" applyFill="1" applyBorder="1" applyAlignment="1" applyProtection="1">
      <alignment horizontal="center"/>
    </xf>
    <xf numFmtId="14" fontId="9" fillId="8" borderId="0" xfId="0" applyNumberFormat="1" applyFont="1" applyFill="1" applyBorder="1" applyAlignment="1" applyProtection="1">
      <alignment horizontal="center"/>
    </xf>
    <xf numFmtId="1" fontId="9" fillId="9" borderId="0" xfId="0" applyNumberFormat="1" applyFont="1" applyFill="1" applyBorder="1" applyAlignment="1" applyProtection="1">
      <alignment horizontal="center"/>
    </xf>
    <xf numFmtId="0" fontId="9" fillId="8" borderId="0" xfId="0" applyFont="1" applyFill="1" applyBorder="1" applyAlignment="1" applyProtection="1">
      <alignment horizontal="center"/>
    </xf>
    <xf numFmtId="166" fontId="9" fillId="9" borderId="0" xfId="0" applyNumberFormat="1" applyFont="1" applyFill="1" applyBorder="1" applyProtection="1"/>
    <xf numFmtId="0" fontId="23" fillId="0" borderId="2" xfId="6" applyFont="1" applyFill="1" applyBorder="1" applyAlignment="1" applyProtection="1">
      <alignment horizontal="left"/>
      <protection locked="0"/>
    </xf>
    <xf numFmtId="0" fontId="9" fillId="3" borderId="0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 vertical="center" wrapText="1"/>
    </xf>
    <xf numFmtId="0" fontId="0" fillId="13" borderId="0" xfId="0" applyFont="1" applyFill="1"/>
    <xf numFmtId="0" fontId="15" fillId="2" borderId="0" xfId="0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right"/>
    </xf>
    <xf numFmtId="0" fontId="32" fillId="12" borderId="0" xfId="0" applyFont="1" applyFill="1" applyBorder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3" borderId="0" xfId="0" applyFont="1" applyFill="1" applyAlignment="1">
      <alignment vertical="center"/>
    </xf>
    <xf numFmtId="0" fontId="28" fillId="13" borderId="0" xfId="0" applyFont="1" applyFill="1" applyAlignment="1">
      <alignment vertical="center"/>
    </xf>
    <xf numFmtId="0" fontId="29" fillId="0" borderId="0" xfId="0" applyFont="1" applyAlignment="1">
      <alignment vertical="center"/>
    </xf>
    <xf numFmtId="0" fontId="30" fillId="3" borderId="0" xfId="0" applyFont="1" applyFill="1" applyAlignment="1">
      <alignment vertical="center"/>
    </xf>
    <xf numFmtId="0" fontId="30" fillId="13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35" fillId="12" borderId="0" xfId="0" applyFont="1" applyFill="1" applyBorder="1" applyAlignment="1">
      <alignment vertical="center"/>
    </xf>
    <xf numFmtId="49" fontId="15" fillId="12" borderId="0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Border="1" applyAlignment="1">
      <alignment horizontal="center" vertical="center" wrapText="1"/>
    </xf>
    <xf numFmtId="49" fontId="9" fillId="8" borderId="0" xfId="0" applyNumberFormat="1" applyFont="1" applyFill="1" applyBorder="1" applyProtection="1"/>
    <xf numFmtId="49" fontId="0" fillId="0" borderId="0" xfId="0" applyNumberFormat="1"/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9" fillId="11" borderId="0" xfId="0" applyFont="1" applyFill="1" applyAlignment="1" applyProtection="1">
      <alignment horizontal="center" vertical="center"/>
    </xf>
    <xf numFmtId="0" fontId="15" fillId="12" borderId="8" xfId="0" applyFont="1" applyFill="1" applyBorder="1" applyAlignment="1">
      <alignment horizontal="center" vertical="center"/>
    </xf>
  </cellXfs>
  <cellStyles count="15">
    <cellStyle name="Bom" xfId="10" builtinId="26"/>
    <cellStyle name="Entrada" xfId="13" builtinId="20"/>
    <cellStyle name="Hiperlink" xfId="14" builtinId="8"/>
    <cellStyle name="Incorreto" xfId="11" builtinId="27"/>
    <cellStyle name="Moeda" xfId="1" builtinId="4"/>
    <cellStyle name="Moeda [0]" xfId="4" builtinId="7"/>
    <cellStyle name="Neutra" xfId="12" builtinId="28"/>
    <cellStyle name="Normal" xfId="0" builtinId="0"/>
    <cellStyle name="Porcentagem" xfId="5" builtinId="5"/>
    <cellStyle name="Separador de milhares [0]" xfId="3" builtinId="6"/>
    <cellStyle name="Título 1" xfId="6" builtinId="16"/>
    <cellStyle name="Título 2" xfId="7" builtinId="17"/>
    <cellStyle name="Título 3" xfId="8" builtinId="18"/>
    <cellStyle name="Título 4" xfId="9" builtinId="19"/>
    <cellStyle name="Vírgula" xfId="2" builtinId="3"/>
  </cellStyles>
  <dxfs count="5"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microsoft.com/office/2007/relationships/hdphoto" Target="../media/hdphoto3.wdp"/><Relationship Id="rId5" Type="http://schemas.openxmlformats.org/officeDocument/2006/relationships/image" Target="../media/image6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161925</xdr:colOff>
      <xdr:row>1</xdr:row>
      <xdr:rowOff>352425</xdr:rowOff>
    </xdr:from>
    <xdr:to>
      <xdr:col>11</xdr:col>
      <xdr:colOff>533400</xdr:colOff>
      <xdr:row>16</xdr:row>
      <xdr:rowOff>76200</xdr:rowOff>
    </xdr:to>
    <xdr:sp macro="" textlink="">
      <xdr:nvSpPr>
        <xdr:cNvPr id="3" name="Retângulo Arredondado 2"/>
        <xdr:cNvSpPr/>
      </xdr:nvSpPr>
      <xdr:spPr>
        <a:xfrm>
          <a:off x="11115675" y="790575"/>
          <a:ext cx="981075" cy="2790825"/>
        </a:xfrm>
        <a:prstGeom prst="roundRect">
          <a:avLst/>
        </a:prstGeom>
        <a:solidFill>
          <a:schemeClr val="bg2"/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100">
              <a:solidFill>
                <a:schemeClr val="bg2"/>
              </a:solidFill>
            </a:rPr>
            <a:t>ARQUIVO SOMENTE LEITURA.</a:t>
          </a:r>
        </a:p>
        <a:p>
          <a:pPr algn="ctr"/>
          <a:endParaRPr lang="pt-BR" sz="1100">
            <a:solidFill>
              <a:schemeClr val="bg2"/>
            </a:solidFill>
          </a:endParaRPr>
        </a:p>
        <a:p>
          <a:pPr algn="ctr"/>
          <a:r>
            <a:rPr lang="pt-BR" sz="1100">
              <a:solidFill>
                <a:schemeClr val="bg2"/>
              </a:solidFill>
            </a:rPr>
            <a:t>COMANDO </a:t>
          </a:r>
          <a:r>
            <a:rPr lang="pt-BR" sz="1100" baseline="0">
              <a:solidFill>
                <a:schemeClr val="bg2"/>
              </a:solidFill>
            </a:rPr>
            <a:t> DESLIGADO</a:t>
          </a:r>
          <a:endParaRPr lang="pt-BR" sz="1100">
            <a:solidFill>
              <a:schemeClr val="bg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57150</xdr:colOff>
          <xdr:row>3</xdr:row>
          <xdr:rowOff>57150</xdr:rowOff>
        </xdr:to>
        <xdr:sp macro="" textlink="">
          <xdr:nvSpPr>
            <xdr:cNvPr id="1030" name="TempComb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200025</xdr:colOff>
      <xdr:row>1</xdr:row>
      <xdr:rowOff>409576</xdr:rowOff>
    </xdr:from>
    <xdr:to>
      <xdr:col>11</xdr:col>
      <xdr:colOff>504825</xdr:colOff>
      <xdr:row>2</xdr:row>
      <xdr:rowOff>171451</xdr:rowOff>
    </xdr:to>
    <xdr:sp macro="[0]!add" textlink="">
      <xdr:nvSpPr>
        <xdr:cNvPr id="2" name="Retângulo Arredondado 1"/>
        <xdr:cNvSpPr/>
      </xdr:nvSpPr>
      <xdr:spPr>
        <a:xfrm>
          <a:off x="11153775" y="847726"/>
          <a:ext cx="914400" cy="304800"/>
        </a:xfrm>
        <a:prstGeom prst="round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</a:p>
      </xdr:txBody>
    </xdr:sp>
    <xdr:clientData fPrintsWithSheet="0"/>
  </xdr:twoCellAnchor>
  <xdr:twoCellAnchor editAs="absolute">
    <xdr:from>
      <xdr:col>10</xdr:col>
      <xdr:colOff>190499</xdr:colOff>
      <xdr:row>3</xdr:row>
      <xdr:rowOff>47625</xdr:rowOff>
    </xdr:from>
    <xdr:to>
      <xdr:col>11</xdr:col>
      <xdr:colOff>504824</xdr:colOff>
      <xdr:row>4</xdr:row>
      <xdr:rowOff>152400</xdr:rowOff>
    </xdr:to>
    <xdr:sp macro="[0]!EnviaEmail" textlink="">
      <xdr:nvSpPr>
        <xdr:cNvPr id="7" name="Retângulo Arredondado 6"/>
        <xdr:cNvSpPr/>
      </xdr:nvSpPr>
      <xdr:spPr>
        <a:xfrm>
          <a:off x="11144249" y="1219200"/>
          <a:ext cx="923925" cy="295275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</xdr:txBody>
    </xdr:sp>
    <xdr:clientData fPrintsWithSheet="0"/>
  </xdr:twoCellAnchor>
  <xdr:twoCellAnchor editAs="absolute">
    <xdr:from>
      <xdr:col>10</xdr:col>
      <xdr:colOff>171451</xdr:colOff>
      <xdr:row>13</xdr:row>
      <xdr:rowOff>114301</xdr:rowOff>
    </xdr:from>
    <xdr:to>
      <xdr:col>11</xdr:col>
      <xdr:colOff>485775</xdr:colOff>
      <xdr:row>15</xdr:row>
      <xdr:rowOff>47625</xdr:rowOff>
    </xdr:to>
    <xdr:sp macro="[0]!senha" textlink="">
      <xdr:nvSpPr>
        <xdr:cNvPr id="8" name="Retângulo Arredondado 7"/>
        <xdr:cNvSpPr/>
      </xdr:nvSpPr>
      <xdr:spPr>
        <a:xfrm>
          <a:off x="11125201" y="3190876"/>
          <a:ext cx="923924" cy="314324"/>
        </a:xfrm>
        <a:prstGeom prst="round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RH</a:t>
          </a:r>
        </a:p>
      </xdr:txBody>
    </xdr:sp>
    <xdr:clientData fPrintsWithSheet="0"/>
  </xdr:twoCellAnchor>
  <xdr:twoCellAnchor editAs="absolute">
    <xdr:from>
      <xdr:col>10</xdr:col>
      <xdr:colOff>180976</xdr:colOff>
      <xdr:row>7</xdr:row>
      <xdr:rowOff>180976</xdr:rowOff>
    </xdr:from>
    <xdr:to>
      <xdr:col>11</xdr:col>
      <xdr:colOff>504826</xdr:colOff>
      <xdr:row>9</xdr:row>
      <xdr:rowOff>85726</xdr:rowOff>
    </xdr:to>
    <xdr:sp macro="[0]!limpeza" textlink="">
      <xdr:nvSpPr>
        <xdr:cNvPr id="9" name="Retângulo Arredondado 8"/>
        <xdr:cNvSpPr/>
      </xdr:nvSpPr>
      <xdr:spPr>
        <a:xfrm>
          <a:off x="11134726" y="2114551"/>
          <a:ext cx="933450" cy="2857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</xdr:colOff>
          <xdr:row>0</xdr:row>
          <xdr:rowOff>95250</xdr:rowOff>
        </xdr:from>
        <xdr:to>
          <xdr:col>11</xdr:col>
          <xdr:colOff>600075</xdr:colOff>
          <xdr:row>0</xdr:row>
          <xdr:rowOff>400050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2860" rIns="27432" bIns="22860" anchor="ctr" upright="1"/>
            <a:lstStyle/>
            <a:p>
              <a:pPr algn="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ARQUIVO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48683</xdr:colOff>
      <xdr:row>0</xdr:row>
      <xdr:rowOff>164042</xdr:rowOff>
    </xdr:from>
    <xdr:to>
      <xdr:col>10</xdr:col>
      <xdr:colOff>228600</xdr:colOff>
      <xdr:row>0</xdr:row>
      <xdr:rowOff>346194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94" r="23871"/>
        <a:stretch/>
      </xdr:blipFill>
      <xdr:spPr>
        <a:xfrm>
          <a:off x="9849908" y="164042"/>
          <a:ext cx="179917" cy="182152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9525</xdr:rowOff>
    </xdr:from>
    <xdr:to>
      <xdr:col>7</xdr:col>
      <xdr:colOff>581025</xdr:colOff>
      <xdr:row>11</xdr:row>
      <xdr:rowOff>142875</xdr:rowOff>
    </xdr:to>
    <xdr:sp macro="[0]!dados" textlink="">
      <xdr:nvSpPr>
        <xdr:cNvPr id="2" name="Retângulo Arredondado 1"/>
        <xdr:cNvSpPr/>
      </xdr:nvSpPr>
      <xdr:spPr>
        <a:xfrm>
          <a:off x="2438400" y="1295400"/>
          <a:ext cx="2409825" cy="1085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DADOS</a:t>
          </a:r>
          <a:r>
            <a:rPr lang="pt-BR" sz="1800" b="1" baseline="0"/>
            <a:t> DE ENTRADA</a:t>
          </a:r>
          <a:endParaRPr lang="pt-BR" sz="1800" b="1"/>
        </a:p>
      </xdr:txBody>
    </xdr:sp>
    <xdr:clientData/>
  </xdr:twoCellAnchor>
  <xdr:twoCellAnchor>
    <xdr:from>
      <xdr:col>10</xdr:col>
      <xdr:colOff>104775</xdr:colOff>
      <xdr:row>6</xdr:row>
      <xdr:rowOff>19050</xdr:rowOff>
    </xdr:from>
    <xdr:to>
      <xdr:col>14</xdr:col>
      <xdr:colOff>76200</xdr:colOff>
      <xdr:row>11</xdr:row>
      <xdr:rowOff>152400</xdr:rowOff>
    </xdr:to>
    <xdr:sp macro="[0]!hist" textlink="">
      <xdr:nvSpPr>
        <xdr:cNvPr id="3" name="Retângulo Arredondado 2"/>
        <xdr:cNvSpPr/>
      </xdr:nvSpPr>
      <xdr:spPr>
        <a:xfrm>
          <a:off x="6200775" y="1304925"/>
          <a:ext cx="2409825" cy="108585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HISTÓRICO DE REEMBOLSO</a:t>
          </a:r>
        </a:p>
      </xdr:txBody>
    </xdr:sp>
    <xdr:clientData/>
  </xdr:twoCellAnchor>
  <xdr:twoCellAnchor>
    <xdr:from>
      <xdr:col>5</xdr:col>
      <xdr:colOff>133350</xdr:colOff>
      <xdr:row>0</xdr:row>
      <xdr:rowOff>171450</xdr:rowOff>
    </xdr:from>
    <xdr:to>
      <xdr:col>12</xdr:col>
      <xdr:colOff>542925</xdr:colOff>
      <xdr:row>2</xdr:row>
      <xdr:rowOff>57150</xdr:rowOff>
    </xdr:to>
    <xdr:sp macro="" textlink="">
      <xdr:nvSpPr>
        <xdr:cNvPr id="4" name="Retângulo Arredondado 3"/>
        <xdr:cNvSpPr/>
      </xdr:nvSpPr>
      <xdr:spPr>
        <a:xfrm>
          <a:off x="3181350" y="171450"/>
          <a:ext cx="4676775" cy="409575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390525</xdr:colOff>
      <xdr:row>0</xdr:row>
      <xdr:rowOff>142875</xdr:rowOff>
    </xdr:from>
    <xdr:to>
      <xdr:col>16</xdr:col>
      <xdr:colOff>333374</xdr:colOff>
      <xdr:row>1</xdr:row>
      <xdr:rowOff>266700</xdr:rowOff>
    </xdr:to>
    <xdr:sp macro="[0]!exitrh" textlink="">
      <xdr:nvSpPr>
        <xdr:cNvPr id="5" name="Retângulo Arredondado 4"/>
        <xdr:cNvSpPr/>
      </xdr:nvSpPr>
      <xdr:spPr>
        <a:xfrm>
          <a:off x="8315325" y="142875"/>
          <a:ext cx="1771649" cy="314325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pt-BR" sz="1200" b="1">
              <a:solidFill>
                <a:sysClr val="windowText" lastClr="000000"/>
              </a:solidFill>
            </a:rPr>
            <a:t>VOLTAR</a:t>
          </a:r>
          <a:r>
            <a:rPr lang="pt-BR" sz="1200" b="1" baseline="0">
              <a:solidFill>
                <a:sysClr val="windowText" lastClr="000000"/>
              </a:solidFill>
            </a:rPr>
            <a:t> TELA INICIAL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428626</xdr:colOff>
      <xdr:row>0</xdr:row>
      <xdr:rowOff>180975</xdr:rowOff>
    </xdr:from>
    <xdr:to>
      <xdr:col>14</xdr:col>
      <xdr:colOff>47626</xdr:colOff>
      <xdr:row>1</xdr:row>
      <xdr:rowOff>233363</xdr:rowOff>
    </xdr:to>
    <xdr:pic>
      <xdr:nvPicPr>
        <xdr:cNvPr id="6" name="Imagem 5" descr="Fechar ou apagar botão circular para a interface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681" l="0" r="100000">
                      <a14:foregroundMark x1="28435" y1="16773" x2="28435" y2="16773"/>
                      <a14:foregroundMark x1="14537" y1="25559" x2="14537" y2="57348"/>
                      <a14:foregroundMark x1="15176" y1="69808" x2="59585" y2="9041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6" y="180975"/>
          <a:ext cx="228600" cy="2428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38100</xdr:rowOff>
    </xdr:from>
    <xdr:to>
      <xdr:col>0</xdr:col>
      <xdr:colOff>1257300</xdr:colOff>
      <xdr:row>0</xdr:row>
      <xdr:rowOff>533400</xdr:rowOff>
    </xdr:to>
    <xdr:sp macro="[0]!tela2" textlink="">
      <xdr:nvSpPr>
        <xdr:cNvPr id="3" name="Retângulo Arredondado 2"/>
        <xdr:cNvSpPr/>
      </xdr:nvSpPr>
      <xdr:spPr>
        <a:xfrm>
          <a:off x="38101" y="38100"/>
          <a:ext cx="1219199" cy="4953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050" b="1">
              <a:solidFill>
                <a:sysClr val="windowText" lastClr="000000"/>
              </a:solidFill>
            </a:rPr>
            <a:t>VOLTAR</a:t>
          </a:r>
          <a:r>
            <a:rPr lang="pt-BR" sz="1050" b="1" baseline="0">
              <a:solidFill>
                <a:sysClr val="windowText" lastClr="000000"/>
              </a:solidFill>
            </a:rPr>
            <a:t> Á TELA </a:t>
          </a:r>
        </a:p>
        <a:p>
          <a:pPr algn="ctr"/>
          <a:r>
            <a:rPr lang="pt-BR" sz="1050" b="1" baseline="0">
              <a:solidFill>
                <a:sysClr val="windowText" lastClr="000000"/>
              </a:solidFill>
            </a:rPr>
            <a:t>DO RH</a:t>
          </a:r>
          <a:endParaRPr lang="pt-BR" sz="1050" b="1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oneCell">
    <xdr:from>
      <xdr:col>0</xdr:col>
      <xdr:colOff>66675</xdr:colOff>
      <xdr:row>0</xdr:row>
      <xdr:rowOff>142875</xdr:rowOff>
    </xdr:from>
    <xdr:to>
      <xdr:col>0</xdr:col>
      <xdr:colOff>295275</xdr:colOff>
      <xdr:row>0</xdr:row>
      <xdr:rowOff>385763</xdr:rowOff>
    </xdr:to>
    <xdr:pic>
      <xdr:nvPicPr>
        <xdr:cNvPr id="4" name="Imagem 3" descr="Fechar ou apagar botão circular para a interface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681" l="0" r="100000">
                      <a14:foregroundMark x1="28435" y1="16773" x2="28435" y2="16773"/>
                      <a14:foregroundMark x1="14537" y1="25559" x2="14537" y2="57348"/>
                      <a14:foregroundMark x1="15176" y1="69808" x2="59585" y2="9041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42875"/>
          <a:ext cx="228600" cy="242888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0</xdr:row>
      <xdr:rowOff>333375</xdr:rowOff>
    </xdr:from>
    <xdr:to>
      <xdr:col>8</xdr:col>
      <xdr:colOff>756179</xdr:colOff>
      <xdr:row>0</xdr:row>
      <xdr:rowOff>638175</xdr:rowOff>
    </xdr:to>
    <xdr:sp macro="" textlink="">
      <xdr:nvSpPr>
        <xdr:cNvPr id="10" name="Retângulo 9"/>
        <xdr:cNvSpPr/>
      </xdr:nvSpPr>
      <xdr:spPr>
        <a:xfrm>
          <a:off x="8982075" y="333375"/>
          <a:ext cx="499004" cy="3048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57150</xdr:colOff>
          <xdr:row>3</xdr:row>
          <xdr:rowOff>57150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447676</xdr:colOff>
      <xdr:row>0</xdr:row>
      <xdr:rowOff>361951</xdr:rowOff>
    </xdr:from>
    <xdr:to>
      <xdr:col>8</xdr:col>
      <xdr:colOff>219075</xdr:colOff>
      <xdr:row>0</xdr:row>
      <xdr:rowOff>628651</xdr:rowOff>
    </xdr:to>
    <xdr:sp macro="[0]!aprov" textlink="">
      <xdr:nvSpPr>
        <xdr:cNvPr id="3" name="Retângulo Arredondado 2"/>
        <xdr:cNvSpPr/>
      </xdr:nvSpPr>
      <xdr:spPr>
        <a:xfrm>
          <a:off x="7905751" y="361951"/>
          <a:ext cx="1038224" cy="266700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AUTORIZAR</a:t>
          </a:r>
        </a:p>
      </xdr:txBody>
    </xdr:sp>
    <xdr:clientData fPrintsWithSheet="0"/>
  </xdr:twoCellAnchor>
  <xdr:twoCellAnchor>
    <xdr:from>
      <xdr:col>1</xdr:col>
      <xdr:colOff>276225</xdr:colOff>
      <xdr:row>0</xdr:row>
      <xdr:rowOff>47626</xdr:rowOff>
    </xdr:from>
    <xdr:to>
      <xdr:col>1</xdr:col>
      <xdr:colOff>1724025</xdr:colOff>
      <xdr:row>0</xdr:row>
      <xdr:rowOff>485776</xdr:rowOff>
    </xdr:to>
    <xdr:sp macro="[0]!LimpHist" textlink="">
      <xdr:nvSpPr>
        <xdr:cNvPr id="4" name="Retângulo Arredondado 3"/>
        <xdr:cNvSpPr/>
      </xdr:nvSpPr>
      <xdr:spPr>
        <a:xfrm>
          <a:off x="1076325" y="47626"/>
          <a:ext cx="1447800" cy="4381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 HISTÓRICO</a:t>
          </a:r>
        </a:p>
      </xdr:txBody>
    </xdr:sp>
    <xdr:clientData fPrintsWithSheet="0"/>
  </xdr:twoCellAnchor>
  <xdr:twoCellAnchor>
    <xdr:from>
      <xdr:col>9</xdr:col>
      <xdr:colOff>771525</xdr:colOff>
      <xdr:row>0</xdr:row>
      <xdr:rowOff>95250</xdr:rowOff>
    </xdr:from>
    <xdr:to>
      <xdr:col>12</xdr:col>
      <xdr:colOff>104775</xdr:colOff>
      <xdr:row>0</xdr:row>
      <xdr:rowOff>561976</xdr:rowOff>
    </xdr:to>
    <xdr:sp macro="[0]!tela2" textlink="">
      <xdr:nvSpPr>
        <xdr:cNvPr id="5" name="Retângulo Arredondado 4"/>
        <xdr:cNvSpPr/>
      </xdr:nvSpPr>
      <xdr:spPr>
        <a:xfrm>
          <a:off x="10648950" y="95250"/>
          <a:ext cx="1038225" cy="46672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pt-BR" sz="1000" b="1">
              <a:solidFill>
                <a:sysClr val="windowText" lastClr="000000"/>
              </a:solidFill>
            </a:rPr>
            <a:t>VOLTAR</a:t>
          </a:r>
          <a:r>
            <a:rPr lang="pt-BR" sz="1000" b="1" baseline="0">
              <a:solidFill>
                <a:sysClr val="windowText" lastClr="000000"/>
              </a:solidFill>
            </a:rPr>
            <a:t> Á TELA DO RH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7</xdr:col>
      <xdr:colOff>123826</xdr:colOff>
      <xdr:row>0</xdr:row>
      <xdr:rowOff>28576</xdr:rowOff>
    </xdr:from>
    <xdr:to>
      <xdr:col>7</xdr:col>
      <xdr:colOff>1162050</xdr:colOff>
      <xdr:row>0</xdr:row>
      <xdr:rowOff>295276</xdr:rowOff>
    </xdr:to>
    <xdr:sp macro="[0]!analisa" textlink="">
      <xdr:nvSpPr>
        <xdr:cNvPr id="7" name="Retângulo Arredondado 6"/>
        <xdr:cNvSpPr/>
      </xdr:nvSpPr>
      <xdr:spPr>
        <a:xfrm>
          <a:off x="7581901" y="28576"/>
          <a:ext cx="1038224" cy="266700"/>
        </a:xfrm>
        <a:prstGeom prst="round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ANALISAR</a:t>
          </a:r>
        </a:p>
      </xdr:txBody>
    </xdr:sp>
    <xdr:clientData fPrintsWithSheet="0"/>
  </xdr:twoCellAnchor>
  <xdr:twoCellAnchor>
    <xdr:from>
      <xdr:col>7</xdr:col>
      <xdr:colOff>1228725</xdr:colOff>
      <xdr:row>0</xdr:row>
      <xdr:rowOff>28575</xdr:rowOff>
    </xdr:from>
    <xdr:to>
      <xdr:col>8</xdr:col>
      <xdr:colOff>1000124</xdr:colOff>
      <xdr:row>0</xdr:row>
      <xdr:rowOff>295275</xdr:rowOff>
    </xdr:to>
    <xdr:sp macro="[0]!reprova" textlink="">
      <xdr:nvSpPr>
        <xdr:cNvPr id="8" name="Retângulo Arredondado 7"/>
        <xdr:cNvSpPr/>
      </xdr:nvSpPr>
      <xdr:spPr>
        <a:xfrm>
          <a:off x="8686800" y="28575"/>
          <a:ext cx="1038224" cy="26670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REJEITAR</a:t>
          </a:r>
        </a:p>
      </xdr:txBody>
    </xdr:sp>
    <xdr:clientData fPrintsWithSheet="0"/>
  </xdr:twoCellAnchor>
  <xdr:twoCellAnchor editAs="oneCell">
    <xdr:from>
      <xdr:col>9</xdr:col>
      <xdr:colOff>771526</xdr:colOff>
      <xdr:row>0</xdr:row>
      <xdr:rowOff>209550</xdr:rowOff>
    </xdr:from>
    <xdr:to>
      <xdr:col>9</xdr:col>
      <xdr:colOff>1000126</xdr:colOff>
      <xdr:row>0</xdr:row>
      <xdr:rowOff>452438</xdr:rowOff>
    </xdr:to>
    <xdr:pic>
      <xdr:nvPicPr>
        <xdr:cNvPr id="9" name="Imagem 8" descr="Fechar ou apagar botão circular para a interface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681" l="0" r="100000">
                      <a14:foregroundMark x1="28435" y1="16773" x2="28435" y2="16773"/>
                      <a14:foregroundMark x1="14537" y1="25559" x2="14537" y2="57348"/>
                      <a14:foregroundMark x1="15176" y1="69808" x2="59585" y2="9041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48951" y="209550"/>
          <a:ext cx="228600" cy="242888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533400</xdr:colOff>
      <xdr:row>0</xdr:row>
      <xdr:rowOff>361950</xdr:rowOff>
    </xdr:from>
    <xdr:to>
      <xdr:col>8</xdr:col>
      <xdr:colOff>741941</xdr:colOff>
      <xdr:row>0</xdr:row>
      <xdr:rowOff>638175</xdr:rowOff>
    </xdr:to>
    <xdr:pic macro="[0]!diretoria">
      <xdr:nvPicPr>
        <xdr:cNvPr id="6" name="Imagem 5" descr="Ícone Fechado E Destravado Do Cadeado Preto Do Fechamento Da Web No ...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23171" b="64721" l="11308" r="38462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298" t="23138" r="61298" b="35758"/>
        <a:stretch/>
      </xdr:blipFill>
      <xdr:spPr>
        <a:xfrm>
          <a:off x="9258300" y="361950"/>
          <a:ext cx="208541" cy="276225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769990</xdr:colOff>
      <xdr:row>0</xdr:row>
      <xdr:rowOff>361951</xdr:rowOff>
    </xdr:from>
    <xdr:to>
      <xdr:col>8</xdr:col>
      <xdr:colOff>1057275</xdr:colOff>
      <xdr:row>0</xdr:row>
      <xdr:rowOff>635136</xdr:rowOff>
    </xdr:to>
    <xdr:pic>
      <xdr:nvPicPr>
        <xdr:cNvPr id="11" name="Imagem 10" descr="Ícone Fechado E Destravado Do Cadeado Preto Do Fechamento Da Web No ...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23171" b="64721" l="52000" r="92077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52645" t="22866" r="8173" b="34942"/>
        <a:stretch/>
      </xdr:blipFill>
      <xdr:spPr>
        <a:xfrm>
          <a:off x="9494890" y="361951"/>
          <a:ext cx="287285" cy="273185"/>
        </a:xfrm>
        <a:prstGeom prst="rect">
          <a:avLst/>
        </a:prstGeom>
      </xdr:spPr>
    </xdr:pic>
    <xdr:clientData fPrintsWithSheet="0"/>
  </xdr:twoCellAnchor>
  <xdr:twoCellAnchor>
    <xdr:from>
      <xdr:col>8</xdr:col>
      <xdr:colOff>733424</xdr:colOff>
      <xdr:row>0</xdr:row>
      <xdr:rowOff>342900</xdr:rowOff>
    </xdr:from>
    <xdr:to>
      <xdr:col>8</xdr:col>
      <xdr:colOff>1123949</xdr:colOff>
      <xdr:row>0</xdr:row>
      <xdr:rowOff>647700</xdr:rowOff>
    </xdr:to>
    <xdr:sp macro="" textlink="">
      <xdr:nvSpPr>
        <xdr:cNvPr id="13" name="Retângulo 12"/>
        <xdr:cNvSpPr/>
      </xdr:nvSpPr>
      <xdr:spPr>
        <a:xfrm>
          <a:off x="9458324" y="342900"/>
          <a:ext cx="390525" cy="3048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B1:D198" totalsRowShown="0" headerRowDxfId="4" dataDxfId="3">
  <autoFilter ref="B1:D198"/>
  <sortState ref="B2:D198">
    <sortCondition ref="B1:B198"/>
  </sortState>
  <tableColumns count="3">
    <tableColumn id="1" name="COLABORADOR" dataDxfId="2" dataCellStyle="Porcentagem"/>
    <tableColumn id="2" name="MATRÍCULA" dataDxfId="1" dataCellStyle="Título 1"/>
    <tableColumn id="3" name="SE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O19"/>
  <sheetViews>
    <sheetView showGridLines="0" tabSelected="1" workbookViewId="0">
      <selection activeCell="E3" sqref="E3"/>
    </sheetView>
  </sheetViews>
  <sheetFormatPr defaultColWidth="0" defaultRowHeight="15" zeroHeight="1" x14ac:dyDescent="0.25"/>
  <cols>
    <col min="1" max="1" width="10.85546875" style="36" customWidth="1"/>
    <col min="2" max="2" width="32.140625" customWidth="1"/>
    <col min="3" max="3" width="12.5703125" style="1" customWidth="1"/>
    <col min="4" max="4" width="17.7109375" style="1" customWidth="1"/>
    <col min="5" max="5" width="13.28515625" style="2" customWidth="1"/>
    <col min="6" max="6" width="12.85546875" style="2" customWidth="1"/>
    <col min="7" max="7" width="11.28515625" style="1" bestFit="1" customWidth="1"/>
    <col min="8" max="8" width="19" style="1" customWidth="1"/>
    <col min="9" max="9" width="17.28515625" bestFit="1" customWidth="1"/>
    <col min="10" max="10" width="17.28515625" customWidth="1"/>
    <col min="11" max="12" width="9.140625" customWidth="1"/>
    <col min="13" max="13" width="10.7109375" hidden="1" customWidth="1"/>
    <col min="14" max="14" width="5.85546875" hidden="1" customWidth="1"/>
    <col min="15" max="16384" width="9.140625" hidden="1"/>
  </cols>
  <sheetData>
    <row r="1" spans="1:15" ht="34.5" customHeight="1" x14ac:dyDescent="0.25">
      <c r="A1" s="85" t="s">
        <v>194</v>
      </c>
      <c r="B1" s="85"/>
      <c r="C1" s="85"/>
      <c r="D1" s="85"/>
      <c r="E1" s="85"/>
      <c r="F1" s="85"/>
      <c r="G1" s="85"/>
      <c r="H1" s="85"/>
      <c r="I1" s="86"/>
      <c r="J1" s="68"/>
      <c r="K1" s="35"/>
      <c r="L1" s="35"/>
      <c r="M1" s="35"/>
      <c r="N1" s="35"/>
      <c r="O1" s="35"/>
    </row>
    <row r="2" spans="1:15" ht="42.75" customHeight="1" x14ac:dyDescent="0.25">
      <c r="A2" s="4" t="s">
        <v>193</v>
      </c>
      <c r="B2" s="3" t="s">
        <v>0</v>
      </c>
      <c r="C2" s="3" t="s">
        <v>1</v>
      </c>
      <c r="D2" s="3" t="s">
        <v>2</v>
      </c>
      <c r="E2" s="4" t="s">
        <v>195</v>
      </c>
      <c r="F2" s="4" t="s">
        <v>7</v>
      </c>
      <c r="G2" s="3" t="s">
        <v>3</v>
      </c>
      <c r="H2" s="3" t="s">
        <v>208</v>
      </c>
      <c r="I2" s="3" t="s">
        <v>4</v>
      </c>
      <c r="J2" s="65" t="s">
        <v>209</v>
      </c>
      <c r="K2" s="35"/>
      <c r="L2" s="35"/>
      <c r="M2" s="35"/>
      <c r="N2" s="35"/>
      <c r="O2" s="35"/>
    </row>
    <row r="3" spans="1:15" x14ac:dyDescent="0.25">
      <c r="A3" s="9">
        <f ca="1">TODAY()</f>
        <v>44914</v>
      </c>
      <c r="B3" s="13"/>
      <c r="C3" s="5" t="e">
        <f>VLOOKUP(B3,nomes!B:D,2)</f>
        <v>#N/A</v>
      </c>
      <c r="D3" s="5" t="e">
        <f>VLOOKUP(B3,nomes!B:D,3)</f>
        <v>#N/A</v>
      </c>
      <c r="E3" s="11"/>
      <c r="F3" s="11"/>
      <c r="G3" s="6">
        <f>F3-E3+1</f>
        <v>1</v>
      </c>
      <c r="H3" s="12"/>
      <c r="I3" s="7">
        <f>H3*G3*$C$17</f>
        <v>0</v>
      </c>
      <c r="J3" s="12"/>
      <c r="K3" s="35"/>
      <c r="L3" s="35"/>
      <c r="M3" s="35"/>
      <c r="N3" s="35"/>
      <c r="O3" s="35"/>
    </row>
    <row r="4" spans="1:15" x14ac:dyDescent="0.25">
      <c r="A4" s="37"/>
      <c r="B4" s="8"/>
      <c r="C4" s="5"/>
      <c r="D4" s="5"/>
      <c r="E4" s="9"/>
      <c r="F4" s="9"/>
      <c r="G4" s="5"/>
      <c r="H4" s="5"/>
      <c r="I4" s="7"/>
      <c r="J4" s="5"/>
      <c r="K4" s="35"/>
      <c r="L4" s="35"/>
      <c r="M4" s="35"/>
      <c r="N4" s="35"/>
      <c r="O4" s="35"/>
    </row>
    <row r="5" spans="1:15" x14ac:dyDescent="0.25">
      <c r="A5" s="37"/>
      <c r="B5" s="8"/>
      <c r="C5" s="5"/>
      <c r="D5" s="5"/>
      <c r="E5" s="9"/>
      <c r="F5" s="9"/>
      <c r="G5" s="5"/>
      <c r="H5" s="5"/>
      <c r="I5" s="7"/>
      <c r="J5" s="5"/>
      <c r="K5" s="35"/>
      <c r="L5" s="35"/>
      <c r="M5" s="35"/>
      <c r="N5" s="35"/>
      <c r="O5" s="35"/>
    </row>
    <row r="6" spans="1:15" x14ac:dyDescent="0.25">
      <c r="A6" s="37"/>
      <c r="B6" s="8"/>
      <c r="C6" s="5"/>
      <c r="D6" s="5"/>
      <c r="E6" s="9"/>
      <c r="F6" s="9"/>
      <c r="G6" s="5"/>
      <c r="H6" s="5"/>
      <c r="I6" s="7"/>
      <c r="J6" s="5"/>
      <c r="K6" s="35"/>
      <c r="L6" s="35"/>
      <c r="M6" s="35"/>
      <c r="N6" s="35"/>
      <c r="O6" s="35"/>
    </row>
    <row r="7" spans="1:15" x14ac:dyDescent="0.25">
      <c r="A7" s="37"/>
      <c r="B7" s="8"/>
      <c r="C7" s="5"/>
      <c r="D7" s="5"/>
      <c r="E7" s="9"/>
      <c r="F7" s="9"/>
      <c r="G7" s="5"/>
      <c r="H7" s="5"/>
      <c r="I7" s="7"/>
      <c r="J7" s="5"/>
      <c r="K7" s="35"/>
      <c r="L7" s="35"/>
      <c r="M7" s="35"/>
      <c r="N7" s="35"/>
      <c r="O7" s="35"/>
    </row>
    <row r="8" spans="1:15" x14ac:dyDescent="0.25">
      <c r="A8" s="37"/>
      <c r="B8" s="8"/>
      <c r="C8" s="5"/>
      <c r="D8" s="5"/>
      <c r="E8" s="9"/>
      <c r="F8" s="9"/>
      <c r="G8" s="5"/>
      <c r="H8" s="5"/>
      <c r="I8" s="7"/>
      <c r="J8" s="5"/>
      <c r="K8" s="35"/>
      <c r="L8" s="35"/>
      <c r="M8" s="35"/>
      <c r="N8" s="35"/>
      <c r="O8" s="35"/>
    </row>
    <row r="9" spans="1:15" x14ac:dyDescent="0.25">
      <c r="A9" s="37"/>
      <c r="B9" s="8"/>
      <c r="C9" s="5"/>
      <c r="D9" s="5"/>
      <c r="E9" s="9"/>
      <c r="F9" s="9"/>
      <c r="G9" s="5"/>
      <c r="H9" s="5"/>
      <c r="I9" s="7"/>
      <c r="J9" s="5"/>
      <c r="K9" s="35"/>
      <c r="L9" s="35"/>
      <c r="M9" s="35"/>
      <c r="N9" s="35"/>
      <c r="O9" s="35"/>
    </row>
    <row r="10" spans="1:15" x14ac:dyDescent="0.25">
      <c r="A10" s="37"/>
      <c r="B10" s="8"/>
      <c r="C10" s="5"/>
      <c r="D10" s="5"/>
      <c r="E10" s="9"/>
      <c r="F10" s="9"/>
      <c r="G10" s="5"/>
      <c r="H10" s="5"/>
      <c r="I10" s="7"/>
      <c r="J10" s="5"/>
      <c r="K10" s="35"/>
      <c r="L10" s="35"/>
      <c r="M10" s="35"/>
      <c r="N10" s="35"/>
      <c r="O10" s="35"/>
    </row>
    <row r="11" spans="1:15" x14ac:dyDescent="0.25">
      <c r="A11" s="37"/>
      <c r="B11" s="8"/>
      <c r="C11" s="5"/>
      <c r="D11" s="5"/>
      <c r="E11" s="9"/>
      <c r="F11" s="9"/>
      <c r="G11" s="5"/>
      <c r="H11" s="5"/>
      <c r="I11" s="7"/>
      <c r="J11" s="5"/>
      <c r="K11" s="35"/>
      <c r="L11" s="35"/>
      <c r="M11" s="35"/>
      <c r="N11" s="35"/>
      <c r="O11" s="35"/>
    </row>
    <row r="12" spans="1:15" x14ac:dyDescent="0.25">
      <c r="A12" s="37"/>
      <c r="B12" s="8"/>
      <c r="C12" s="5"/>
      <c r="D12" s="5"/>
      <c r="E12" s="9"/>
      <c r="F12" s="9"/>
      <c r="G12" s="5"/>
      <c r="H12" s="5"/>
      <c r="I12" s="7"/>
      <c r="J12" s="5"/>
      <c r="K12" s="35"/>
      <c r="L12" s="35"/>
      <c r="M12" s="35"/>
      <c r="N12" s="35"/>
      <c r="O12" s="35"/>
    </row>
    <row r="13" spans="1:15" x14ac:dyDescent="0.25">
      <c r="A13" s="37"/>
      <c r="B13" s="8"/>
      <c r="C13" s="5"/>
      <c r="D13" s="5"/>
      <c r="E13" s="9"/>
      <c r="F13" s="9"/>
      <c r="G13" s="5"/>
      <c r="H13" s="5"/>
      <c r="I13" s="7"/>
      <c r="J13" s="5"/>
      <c r="K13" s="35"/>
      <c r="L13" s="35"/>
      <c r="M13" s="35"/>
      <c r="N13" s="35"/>
      <c r="O13" s="35"/>
    </row>
    <row r="14" spans="1:15" x14ac:dyDescent="0.25">
      <c r="A14" s="37"/>
      <c r="B14" s="8"/>
      <c r="C14" s="5"/>
      <c r="D14" s="5"/>
      <c r="E14" s="9"/>
      <c r="F14" s="9"/>
      <c r="G14" s="5"/>
      <c r="H14" s="5"/>
      <c r="I14" s="7"/>
      <c r="J14" s="5"/>
      <c r="K14" s="35"/>
      <c r="L14" s="35"/>
      <c r="M14" s="35"/>
      <c r="N14" s="35"/>
      <c r="O14" s="35"/>
    </row>
    <row r="15" spans="1:15" x14ac:dyDescent="0.25">
      <c r="A15" s="37"/>
      <c r="B15" s="8"/>
      <c r="C15" s="5"/>
      <c r="D15" s="5"/>
      <c r="E15" s="9"/>
      <c r="F15" s="9"/>
      <c r="G15" s="5"/>
      <c r="H15" s="5"/>
      <c r="I15" s="7"/>
      <c r="J15" s="5"/>
      <c r="K15" s="35"/>
      <c r="L15" s="35"/>
      <c r="M15" s="35"/>
      <c r="N15" s="35"/>
      <c r="O15" s="35"/>
    </row>
    <row r="16" spans="1:15" x14ac:dyDescent="0.25">
      <c r="A16" s="37"/>
      <c r="B16" s="8"/>
      <c r="C16" s="5"/>
      <c r="D16" s="5"/>
      <c r="E16" s="9"/>
      <c r="F16" s="9"/>
      <c r="G16" s="5"/>
      <c r="H16" s="5"/>
      <c r="I16" s="7"/>
      <c r="J16" s="5"/>
      <c r="K16" s="35"/>
      <c r="L16" s="35"/>
      <c r="M16" s="35"/>
      <c r="N16" s="35"/>
      <c r="O16" s="35"/>
    </row>
    <row r="17" spans="1:15" x14ac:dyDescent="0.25">
      <c r="B17" s="10"/>
      <c r="C17" s="29">
        <f>nomes!G1</f>
        <v>1.0900000000000001</v>
      </c>
      <c r="D17" s="30"/>
      <c r="E17" s="31"/>
      <c r="F17" s="31"/>
      <c r="G17" s="30"/>
      <c r="H17" s="32"/>
      <c r="I17" s="33">
        <f>SUM(I3:I16)</f>
        <v>0</v>
      </c>
      <c r="J17" s="69"/>
      <c r="K17" s="35"/>
      <c r="L17" s="35"/>
      <c r="M17" s="35"/>
      <c r="N17" s="35"/>
      <c r="O17" s="35"/>
    </row>
    <row r="18" spans="1:15" hidden="1" x14ac:dyDescent="0.25"/>
    <row r="19" spans="1:15" hidden="1" x14ac:dyDescent="0.25">
      <c r="A19" s="37"/>
      <c r="B19" s="8"/>
      <c r="C19" s="5"/>
      <c r="D19" s="5"/>
      <c r="E19" s="9"/>
      <c r="F19" s="9"/>
      <c r="G19" s="5"/>
      <c r="H19" s="5"/>
      <c r="I19" s="7"/>
      <c r="J19" s="5"/>
    </row>
  </sheetData>
  <sheetProtection algorithmName="SHA-512" hashValue="kN62uIde5mX9fVhKaRjC6B+bcASTQUvNgRgySoNgT3Wr/Qb+qjfSOntlB1qzz9EWmRybqNHkOvl/7wbzMbKFDA==" saltValue="12YhGUZ/b4CcXqZvnqlxYA==" spinCount="100000" sheet="1" objects="1" scenarios="1" selectLockedCells="1" sort="0" autoFilter="0"/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TempCombo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57150</xdr:colOff>
                <xdr:row>3</xdr:row>
                <xdr:rowOff>57150</xdr:rowOff>
              </to>
            </anchor>
          </controlPr>
        </control>
      </mc:Choice>
      <mc:Fallback>
        <control shapeId="1030" r:id="rId4" name="TempCombo"/>
      </mc:Fallback>
    </mc:AlternateContent>
    <mc:AlternateContent xmlns:mc="http://schemas.openxmlformats.org/markup-compatibility/2006">
      <mc:Choice Requires="x14">
        <control shapeId="1043" r:id="rId6" name="Button 19">
          <controlPr defaultSize="0" print="0" autoFill="0" autoPict="0" macro="[0]!FecharArq1">
            <anchor>
              <from>
                <xdr:col>10</xdr:col>
                <xdr:colOff>28575</xdr:colOff>
                <xdr:row>0</xdr:row>
                <xdr:rowOff>95250</xdr:rowOff>
              </from>
              <to>
                <xdr:col>11</xdr:col>
                <xdr:colOff>600075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nomes!$B2:$B198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R19"/>
  <sheetViews>
    <sheetView showGridLines="0" showRowColHeaders="0" workbookViewId="0">
      <selection activeCell="I9" sqref="I9"/>
    </sheetView>
  </sheetViews>
  <sheetFormatPr defaultColWidth="0" defaultRowHeight="15" customHeight="1" zeroHeight="1" x14ac:dyDescent="0.25"/>
  <cols>
    <col min="1" max="18" width="9.140625" customWidth="1"/>
    <col min="19" max="16384" width="9.140625" hidden="1"/>
  </cols>
  <sheetData>
    <row r="1" spans="1:18" s="35" customFormat="1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35" customFormat="1" ht="26.25" customHeight="1" x14ac:dyDescent="0.25">
      <c r="A2" s="87" t="s">
        <v>192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18" s="35" customFormat="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1:18" s="35" customFormat="1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</row>
    <row r="5" spans="1:18" s="35" customFormat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1:18" s="35" customFormat="1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</row>
    <row r="7" spans="1:18" s="35" customFormat="1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</row>
    <row r="8" spans="1:18" s="35" customFormat="1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</row>
    <row r="9" spans="1:18" s="35" customForma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</row>
    <row r="10" spans="1:18" s="35" customFormat="1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</row>
    <row r="11" spans="1:18" s="35" customFormat="1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</row>
    <row r="12" spans="1:18" s="35" customFormat="1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</row>
    <row r="13" spans="1:18" s="35" customFormat="1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</row>
    <row r="14" spans="1:18" s="35" customFormat="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</row>
    <row r="15" spans="1:18" s="35" customFormat="1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</row>
    <row r="16" spans="1:18" s="35" customFormat="1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</row>
    <row r="17" spans="1:18" s="35" customFormat="1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</row>
    <row r="18" spans="1:18" s="35" customFormat="1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</row>
    <row r="19" spans="1:18" s="35" customFormat="1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</row>
  </sheetData>
  <sheetProtection selectLockedCells="1" sort="0" autoFilter="0"/>
  <mergeCells count="1">
    <mergeCell ref="A2:R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198"/>
  <sheetViews>
    <sheetView showGridLines="0" workbookViewId="0">
      <pane ySplit="1" topLeftCell="A2" activePane="bottomLeft" state="frozen"/>
      <selection pane="bottomLeft" activeCell="H8" sqref="H8"/>
    </sheetView>
  </sheetViews>
  <sheetFormatPr defaultColWidth="9.140625" defaultRowHeight="15" x14ac:dyDescent="0.25"/>
  <cols>
    <col min="1" max="1" width="19.7109375" style="14" customWidth="1"/>
    <col min="2" max="2" width="33.85546875" style="14" bestFit="1" customWidth="1"/>
    <col min="3" max="3" width="13.7109375" style="14" customWidth="1"/>
    <col min="4" max="4" width="21" style="14" bestFit="1" customWidth="1"/>
    <col min="5" max="5" width="2.140625" style="14" customWidth="1"/>
    <col min="6" max="6" width="12.85546875" style="14" customWidth="1"/>
    <col min="7" max="7" width="9.140625" style="14" customWidth="1"/>
    <col min="8" max="8" width="6.140625" style="14" customWidth="1"/>
    <col min="9" max="9" width="4.7109375" style="14" customWidth="1"/>
    <col min="10" max="10" width="9.140625" style="14" customWidth="1"/>
    <col min="11" max="11" width="37.85546875" style="14" customWidth="1"/>
    <col min="12" max="18" width="9.140625" style="14" customWidth="1"/>
    <col min="19" max="16384" width="9.140625" style="14"/>
  </cols>
  <sheetData>
    <row r="1" spans="2:11" ht="45" customHeight="1" x14ac:dyDescent="0.25">
      <c r="B1" s="48" t="s">
        <v>9</v>
      </c>
      <c r="C1" s="48" t="s">
        <v>10</v>
      </c>
      <c r="D1" s="48" t="s">
        <v>11</v>
      </c>
      <c r="F1" s="50" t="s">
        <v>5</v>
      </c>
      <c r="G1" s="49">
        <v>1.0900000000000001</v>
      </c>
      <c r="J1" s="46" t="s">
        <v>191</v>
      </c>
      <c r="K1" s="47" t="s">
        <v>206</v>
      </c>
    </row>
    <row r="2" spans="2:11" x14ac:dyDescent="0.25">
      <c r="B2" s="16" t="s">
        <v>95</v>
      </c>
      <c r="C2" s="17">
        <v>3332</v>
      </c>
      <c r="D2" s="14" t="s">
        <v>179</v>
      </c>
      <c r="K2" s="15"/>
    </row>
    <row r="3" spans="2:11" x14ac:dyDescent="0.25">
      <c r="B3" s="16" t="s">
        <v>87</v>
      </c>
      <c r="C3" s="17">
        <v>3701</v>
      </c>
      <c r="D3" s="14" t="s">
        <v>177</v>
      </c>
      <c r="K3" s="47"/>
    </row>
    <row r="4" spans="2:11" x14ac:dyDescent="0.25">
      <c r="B4" s="16" t="s">
        <v>19</v>
      </c>
      <c r="C4" s="17">
        <v>3704</v>
      </c>
      <c r="D4" s="14" t="s">
        <v>171</v>
      </c>
      <c r="K4" s="47"/>
    </row>
    <row r="5" spans="2:11" x14ac:dyDescent="0.25">
      <c r="B5" s="16" t="s">
        <v>139</v>
      </c>
      <c r="C5" s="17">
        <v>3739</v>
      </c>
      <c r="D5" s="14" t="s">
        <v>188</v>
      </c>
      <c r="K5" s="47"/>
    </row>
    <row r="6" spans="2:11" x14ac:dyDescent="0.25">
      <c r="B6" s="16" t="s">
        <v>44</v>
      </c>
      <c r="C6" s="17">
        <v>3275</v>
      </c>
      <c r="D6" s="14" t="s">
        <v>173</v>
      </c>
    </row>
    <row r="7" spans="2:11" x14ac:dyDescent="0.25">
      <c r="B7" s="16" t="s">
        <v>82</v>
      </c>
      <c r="C7" s="17">
        <v>2317</v>
      </c>
      <c r="D7" s="14" t="s">
        <v>176</v>
      </c>
    </row>
    <row r="8" spans="2:11" x14ac:dyDescent="0.25">
      <c r="B8" s="16" t="s">
        <v>30</v>
      </c>
      <c r="C8" s="17">
        <v>9093</v>
      </c>
      <c r="D8" s="14" t="s">
        <v>172</v>
      </c>
    </row>
    <row r="9" spans="2:11" x14ac:dyDescent="0.25">
      <c r="B9" s="16" t="s">
        <v>137</v>
      </c>
      <c r="C9" s="17">
        <v>3675</v>
      </c>
      <c r="D9" s="14" t="s">
        <v>187</v>
      </c>
      <c r="G9" s="18"/>
      <c r="H9" s="16"/>
    </row>
    <row r="10" spans="2:11" x14ac:dyDescent="0.25">
      <c r="B10" s="16" t="s">
        <v>159</v>
      </c>
      <c r="C10" s="17">
        <v>40</v>
      </c>
      <c r="D10" s="14" t="s">
        <v>190</v>
      </c>
      <c r="G10" s="18"/>
      <c r="H10" s="16"/>
    </row>
    <row r="11" spans="2:11" x14ac:dyDescent="0.25">
      <c r="B11" s="16" t="s">
        <v>12</v>
      </c>
      <c r="C11" s="17">
        <v>3676</v>
      </c>
      <c r="D11" s="14" t="s">
        <v>170</v>
      </c>
      <c r="G11" s="18"/>
      <c r="H11" s="16"/>
    </row>
    <row r="12" spans="2:11" x14ac:dyDescent="0.25">
      <c r="B12" s="16" t="s">
        <v>126</v>
      </c>
      <c r="C12" s="17">
        <v>3611</v>
      </c>
      <c r="D12" s="14" t="s">
        <v>185</v>
      </c>
      <c r="G12" s="18"/>
      <c r="H12" s="16"/>
    </row>
    <row r="13" spans="2:11" x14ac:dyDescent="0.25">
      <c r="B13" s="16" t="s">
        <v>45</v>
      </c>
      <c r="C13" s="17">
        <v>3666</v>
      </c>
      <c r="D13" s="14" t="s">
        <v>173</v>
      </c>
      <c r="G13" s="18"/>
      <c r="H13" s="16"/>
    </row>
    <row r="14" spans="2:11" x14ac:dyDescent="0.25">
      <c r="B14" s="16" t="s">
        <v>144</v>
      </c>
      <c r="C14" s="17">
        <v>9084</v>
      </c>
      <c r="D14" s="14" t="s">
        <v>189</v>
      </c>
      <c r="G14" s="18"/>
      <c r="H14" s="16"/>
    </row>
    <row r="15" spans="2:11" x14ac:dyDescent="0.25">
      <c r="B15" s="16" t="s">
        <v>31</v>
      </c>
      <c r="C15" s="17">
        <v>3720</v>
      </c>
      <c r="D15" s="14" t="s">
        <v>172</v>
      </c>
      <c r="G15" s="18"/>
      <c r="H15" s="16"/>
    </row>
    <row r="16" spans="2:11" x14ac:dyDescent="0.25">
      <c r="B16" s="16" t="s">
        <v>46</v>
      </c>
      <c r="C16" s="17">
        <v>3408</v>
      </c>
      <c r="D16" s="14" t="s">
        <v>173</v>
      </c>
      <c r="G16" s="18"/>
      <c r="H16" s="16"/>
    </row>
    <row r="17" spans="1:18" x14ac:dyDescent="0.25">
      <c r="B17" s="16" t="s">
        <v>47</v>
      </c>
      <c r="C17" s="17">
        <v>3717</v>
      </c>
      <c r="D17" s="14" t="s">
        <v>173</v>
      </c>
      <c r="G17" s="18"/>
      <c r="H17" s="16"/>
    </row>
    <row r="18" spans="1:18" x14ac:dyDescent="0.25">
      <c r="B18" s="16" t="s">
        <v>110</v>
      </c>
      <c r="C18" s="17">
        <v>2815</v>
      </c>
      <c r="D18" s="14" t="s">
        <v>182</v>
      </c>
      <c r="G18" s="18"/>
      <c r="H18" s="16"/>
    </row>
    <row r="19" spans="1:18" x14ac:dyDescent="0.25">
      <c r="B19" s="16" t="s">
        <v>88</v>
      </c>
      <c r="C19" s="17">
        <v>3655</v>
      </c>
      <c r="D19" s="14" t="s">
        <v>177</v>
      </c>
      <c r="G19" s="18"/>
      <c r="H19" s="16"/>
    </row>
    <row r="20" spans="1:18" x14ac:dyDescent="0.25">
      <c r="A20" s="19"/>
      <c r="B20" s="16" t="s">
        <v>145</v>
      </c>
      <c r="C20" s="17">
        <v>9080</v>
      </c>
      <c r="D20" s="14" t="s">
        <v>189</v>
      </c>
      <c r="H20" s="20"/>
    </row>
    <row r="21" spans="1:18" x14ac:dyDescent="0.25">
      <c r="A21" s="19"/>
      <c r="B21" s="16" t="s">
        <v>20</v>
      </c>
      <c r="C21" s="17">
        <v>3685</v>
      </c>
      <c r="D21" s="14" t="s">
        <v>171</v>
      </c>
    </row>
    <row r="22" spans="1:18" x14ac:dyDescent="0.25">
      <c r="A22" s="21"/>
      <c r="B22" s="16" t="s">
        <v>103</v>
      </c>
      <c r="C22" s="17">
        <v>3642</v>
      </c>
      <c r="D22" s="14" t="s">
        <v>180</v>
      </c>
    </row>
    <row r="23" spans="1:18" x14ac:dyDescent="0.25">
      <c r="A23" s="22"/>
      <c r="B23" s="16" t="s">
        <v>146</v>
      </c>
      <c r="C23" s="17">
        <v>9087</v>
      </c>
      <c r="D23" s="14" t="s">
        <v>189</v>
      </c>
      <c r="Q23" s="23"/>
      <c r="R23" s="24"/>
    </row>
    <row r="24" spans="1:18" ht="18" x14ac:dyDescent="0.25">
      <c r="A24" s="25"/>
      <c r="B24" s="16" t="s">
        <v>48</v>
      </c>
      <c r="C24" s="17">
        <v>3503</v>
      </c>
      <c r="D24" s="14" t="s">
        <v>173</v>
      </c>
    </row>
    <row r="25" spans="1:18" x14ac:dyDescent="0.25">
      <c r="A25" s="26"/>
      <c r="B25" s="16" t="s">
        <v>89</v>
      </c>
      <c r="C25" s="17">
        <v>3133</v>
      </c>
      <c r="D25" s="14" t="s">
        <v>177</v>
      </c>
      <c r="G25" s="27"/>
      <c r="H25" s="27"/>
    </row>
    <row r="26" spans="1:18" x14ac:dyDescent="0.25">
      <c r="A26" s="28"/>
      <c r="B26" s="16" t="s">
        <v>127</v>
      </c>
      <c r="C26" s="17">
        <v>3283</v>
      </c>
      <c r="D26" s="14" t="s">
        <v>185</v>
      </c>
    </row>
    <row r="27" spans="1:18" x14ac:dyDescent="0.25">
      <c r="B27" s="16" t="s">
        <v>114</v>
      </c>
      <c r="C27" s="17">
        <v>3722</v>
      </c>
      <c r="D27" s="14" t="s">
        <v>183</v>
      </c>
      <c r="G27" s="18"/>
      <c r="H27" s="16"/>
    </row>
    <row r="28" spans="1:18" x14ac:dyDescent="0.25">
      <c r="B28" s="16" t="s">
        <v>62</v>
      </c>
      <c r="C28" s="17">
        <v>3442</v>
      </c>
      <c r="D28" s="14" t="s">
        <v>174</v>
      </c>
      <c r="G28" s="18"/>
      <c r="H28" s="16"/>
    </row>
    <row r="29" spans="1:18" x14ac:dyDescent="0.25">
      <c r="B29" s="16" t="s">
        <v>83</v>
      </c>
      <c r="C29" s="17">
        <v>3746</v>
      </c>
      <c r="D29" s="14" t="s">
        <v>176</v>
      </c>
      <c r="G29" s="18"/>
      <c r="H29" s="16"/>
    </row>
    <row r="30" spans="1:18" x14ac:dyDescent="0.25">
      <c r="B30" s="16" t="s">
        <v>128</v>
      </c>
      <c r="C30" s="17">
        <v>3301</v>
      </c>
      <c r="D30" s="14" t="s">
        <v>185</v>
      </c>
      <c r="G30" s="18"/>
      <c r="H30" s="16"/>
    </row>
    <row r="31" spans="1:18" x14ac:dyDescent="0.25">
      <c r="B31" s="40" t="s">
        <v>205</v>
      </c>
      <c r="C31" s="43">
        <v>3780</v>
      </c>
      <c r="D31" s="14" t="s">
        <v>173</v>
      </c>
      <c r="G31" s="18"/>
      <c r="H31" s="16"/>
    </row>
    <row r="32" spans="1:18" x14ac:dyDescent="0.25">
      <c r="B32" s="16" t="s">
        <v>21</v>
      </c>
      <c r="C32" s="17">
        <v>2823</v>
      </c>
      <c r="D32" s="14" t="s">
        <v>171</v>
      </c>
      <c r="G32" s="18"/>
      <c r="H32" s="16"/>
    </row>
    <row r="33" spans="1:18" x14ac:dyDescent="0.25">
      <c r="B33" s="16" t="s">
        <v>63</v>
      </c>
      <c r="C33" s="17">
        <v>3603</v>
      </c>
      <c r="D33" s="14" t="s">
        <v>174</v>
      </c>
      <c r="G33" s="18"/>
      <c r="H33" s="16"/>
    </row>
    <row r="34" spans="1:18" x14ac:dyDescent="0.25">
      <c r="B34" s="16" t="s">
        <v>32</v>
      </c>
      <c r="C34" s="17">
        <v>2935</v>
      </c>
      <c r="D34" s="14" t="s">
        <v>172</v>
      </c>
      <c r="G34" s="18"/>
      <c r="H34" s="16"/>
    </row>
    <row r="35" spans="1:18" x14ac:dyDescent="0.25">
      <c r="B35" s="16" t="s">
        <v>64</v>
      </c>
      <c r="C35" s="17">
        <v>3107</v>
      </c>
      <c r="D35" s="14" t="s">
        <v>174</v>
      </c>
      <c r="G35" s="18"/>
      <c r="H35" s="16"/>
    </row>
    <row r="36" spans="1:18" x14ac:dyDescent="0.25">
      <c r="B36" s="16" t="s">
        <v>65</v>
      </c>
      <c r="C36" s="17">
        <v>3713</v>
      </c>
      <c r="D36" s="14" t="s">
        <v>174</v>
      </c>
      <c r="G36" s="18"/>
      <c r="H36" s="16"/>
    </row>
    <row r="37" spans="1:18" x14ac:dyDescent="0.25">
      <c r="B37" s="40" t="s">
        <v>203</v>
      </c>
      <c r="C37" s="43">
        <v>3787</v>
      </c>
      <c r="D37" s="14" t="s">
        <v>188</v>
      </c>
      <c r="G37" s="18"/>
      <c r="H37" s="16"/>
    </row>
    <row r="38" spans="1:18" x14ac:dyDescent="0.25">
      <c r="B38" s="16" t="s">
        <v>160</v>
      </c>
      <c r="C38" s="17">
        <v>34</v>
      </c>
      <c r="D38" s="14" t="s">
        <v>190</v>
      </c>
      <c r="G38" s="18"/>
      <c r="H38" s="16"/>
    </row>
    <row r="39" spans="1:18" x14ac:dyDescent="0.25">
      <c r="B39" s="16" t="s">
        <v>134</v>
      </c>
      <c r="C39" s="17">
        <v>3727</v>
      </c>
      <c r="D39" s="14" t="s">
        <v>186</v>
      </c>
      <c r="G39" s="18"/>
      <c r="H39" s="16"/>
    </row>
    <row r="40" spans="1:18" x14ac:dyDescent="0.25">
      <c r="B40" s="40" t="s">
        <v>197</v>
      </c>
      <c r="C40" s="43">
        <v>3774</v>
      </c>
      <c r="D40" s="14" t="s">
        <v>196</v>
      </c>
      <c r="G40" s="18"/>
      <c r="H40" s="16"/>
    </row>
    <row r="41" spans="1:18" x14ac:dyDescent="0.25">
      <c r="A41" s="19"/>
      <c r="B41" s="16" t="s">
        <v>79</v>
      </c>
      <c r="C41" s="17">
        <v>3693</v>
      </c>
      <c r="D41" s="14" t="s">
        <v>175</v>
      </c>
      <c r="H41" s="20"/>
    </row>
    <row r="42" spans="1:18" x14ac:dyDescent="0.25">
      <c r="A42" s="19"/>
      <c r="B42" s="16" t="s">
        <v>66</v>
      </c>
      <c r="C42" s="17">
        <v>3669</v>
      </c>
      <c r="D42" s="14" t="s">
        <v>174</v>
      </c>
    </row>
    <row r="43" spans="1:18" x14ac:dyDescent="0.25">
      <c r="A43" s="21"/>
      <c r="B43" s="16" t="s">
        <v>22</v>
      </c>
      <c r="C43" s="17">
        <v>3750</v>
      </c>
      <c r="D43" s="14" t="s">
        <v>171</v>
      </c>
    </row>
    <row r="44" spans="1:18" x14ac:dyDescent="0.25">
      <c r="A44" s="22"/>
      <c r="B44" s="16" t="s">
        <v>140</v>
      </c>
      <c r="C44" s="17">
        <v>2700</v>
      </c>
      <c r="D44" s="14" t="s">
        <v>188</v>
      </c>
      <c r="Q44" s="23"/>
      <c r="R44" s="24"/>
    </row>
    <row r="45" spans="1:18" ht="18" x14ac:dyDescent="0.25">
      <c r="A45" s="25"/>
      <c r="B45" s="16" t="s">
        <v>161</v>
      </c>
      <c r="C45" s="17">
        <v>14</v>
      </c>
      <c r="D45" s="14" t="s">
        <v>190</v>
      </c>
    </row>
    <row r="46" spans="1:18" x14ac:dyDescent="0.25">
      <c r="A46" s="26"/>
      <c r="B46" s="16" t="s">
        <v>96</v>
      </c>
      <c r="C46" s="17">
        <v>3637</v>
      </c>
      <c r="D46" s="14" t="s">
        <v>179</v>
      </c>
      <c r="G46" s="27"/>
      <c r="H46" s="27"/>
    </row>
    <row r="47" spans="1:18" x14ac:dyDescent="0.25">
      <c r="A47" s="28"/>
      <c r="B47" s="16" t="s">
        <v>13</v>
      </c>
      <c r="C47" s="17">
        <v>3255</v>
      </c>
      <c r="D47" s="14" t="s">
        <v>170</v>
      </c>
    </row>
    <row r="48" spans="1:18" x14ac:dyDescent="0.25">
      <c r="B48" s="16" t="s">
        <v>115</v>
      </c>
      <c r="C48" s="17">
        <v>3029</v>
      </c>
      <c r="D48" s="14" t="s">
        <v>183</v>
      </c>
      <c r="G48" s="18"/>
      <c r="H48" s="16"/>
    </row>
    <row r="49" spans="2:8" x14ac:dyDescent="0.25">
      <c r="B49" s="16" t="s">
        <v>97</v>
      </c>
      <c r="C49" s="17">
        <v>3302</v>
      </c>
      <c r="D49" s="14" t="s">
        <v>179</v>
      </c>
      <c r="G49" s="18"/>
      <c r="H49" s="16"/>
    </row>
    <row r="50" spans="2:8" x14ac:dyDescent="0.25">
      <c r="B50" s="16" t="s">
        <v>23</v>
      </c>
      <c r="C50" s="17">
        <v>3747</v>
      </c>
      <c r="D50" s="14" t="s">
        <v>171</v>
      </c>
      <c r="G50" s="18"/>
      <c r="H50" s="16"/>
    </row>
    <row r="51" spans="2:8" x14ac:dyDescent="0.25">
      <c r="B51" s="16" t="s">
        <v>33</v>
      </c>
      <c r="C51" s="17">
        <v>3732</v>
      </c>
      <c r="D51" s="14" t="s">
        <v>172</v>
      </c>
      <c r="G51" s="18"/>
      <c r="H51" s="16"/>
    </row>
    <row r="52" spans="2:8" x14ac:dyDescent="0.25">
      <c r="B52" s="40" t="s">
        <v>198</v>
      </c>
      <c r="C52" s="43">
        <v>3772</v>
      </c>
      <c r="D52" s="14" t="s">
        <v>196</v>
      </c>
      <c r="G52" s="18"/>
      <c r="H52" s="16"/>
    </row>
    <row r="53" spans="2:8" x14ac:dyDescent="0.25">
      <c r="B53" s="16" t="s">
        <v>24</v>
      </c>
      <c r="C53" s="17">
        <v>3600</v>
      </c>
      <c r="D53" s="14" t="s">
        <v>171</v>
      </c>
      <c r="G53" s="18"/>
      <c r="H53" s="16"/>
    </row>
    <row r="54" spans="2:8" x14ac:dyDescent="0.25">
      <c r="B54" s="16" t="s">
        <v>104</v>
      </c>
      <c r="C54" s="17">
        <v>3687</v>
      </c>
      <c r="D54" s="14" t="s">
        <v>180</v>
      </c>
      <c r="G54" s="18"/>
      <c r="H54" s="16"/>
    </row>
    <row r="55" spans="2:8" x14ac:dyDescent="0.25">
      <c r="B55" s="16" t="s">
        <v>49</v>
      </c>
      <c r="C55" s="17">
        <v>3612</v>
      </c>
      <c r="D55" s="14" t="s">
        <v>173</v>
      </c>
      <c r="G55" s="18"/>
      <c r="H55" s="16"/>
    </row>
    <row r="56" spans="2:8" x14ac:dyDescent="0.25">
      <c r="B56" s="16" t="s">
        <v>107</v>
      </c>
      <c r="C56" s="17">
        <v>3707</v>
      </c>
      <c r="D56" s="14" t="s">
        <v>181</v>
      </c>
      <c r="G56" s="18"/>
      <c r="H56" s="16"/>
    </row>
    <row r="57" spans="2:8" x14ac:dyDescent="0.25">
      <c r="B57" s="16" t="s">
        <v>50</v>
      </c>
      <c r="C57" s="17">
        <v>3708</v>
      </c>
      <c r="D57" s="14" t="s">
        <v>173</v>
      </c>
      <c r="G57" s="18"/>
      <c r="H57" s="16"/>
    </row>
    <row r="58" spans="2:8" x14ac:dyDescent="0.25">
      <c r="B58" s="16" t="s">
        <v>67</v>
      </c>
      <c r="C58" s="17">
        <v>3697</v>
      </c>
      <c r="D58" s="14" t="s">
        <v>174</v>
      </c>
      <c r="G58" s="18"/>
      <c r="H58" s="16"/>
    </row>
    <row r="59" spans="2:8" x14ac:dyDescent="0.25">
      <c r="B59" s="16" t="s">
        <v>84</v>
      </c>
      <c r="C59" s="17">
        <v>3700</v>
      </c>
      <c r="D59" s="14" t="s">
        <v>176</v>
      </c>
      <c r="G59" s="18"/>
      <c r="H59" s="16"/>
    </row>
    <row r="60" spans="2:8" x14ac:dyDescent="0.25">
      <c r="B60" s="16" t="s">
        <v>34</v>
      </c>
      <c r="C60" s="17">
        <v>2847</v>
      </c>
      <c r="D60" s="14" t="s">
        <v>172</v>
      </c>
      <c r="G60" s="18"/>
      <c r="H60" s="16"/>
    </row>
    <row r="61" spans="2:8" x14ac:dyDescent="0.25">
      <c r="B61" s="16" t="s">
        <v>51</v>
      </c>
      <c r="C61" s="17">
        <v>3743</v>
      </c>
      <c r="D61" s="14" t="s">
        <v>173</v>
      </c>
      <c r="G61" s="18"/>
      <c r="H61" s="16"/>
    </row>
    <row r="62" spans="2:8" x14ac:dyDescent="0.25">
      <c r="B62" s="16" t="s">
        <v>147</v>
      </c>
      <c r="C62" s="17">
        <v>9082</v>
      </c>
      <c r="D62" s="14" t="s">
        <v>189</v>
      </c>
      <c r="G62" s="18"/>
      <c r="H62" s="16"/>
    </row>
    <row r="63" spans="2:8" x14ac:dyDescent="0.25">
      <c r="B63" s="16" t="s">
        <v>35</v>
      </c>
      <c r="C63" s="17">
        <v>3326</v>
      </c>
      <c r="D63" s="14" t="s">
        <v>172</v>
      </c>
      <c r="G63" s="18"/>
      <c r="H63" s="16"/>
    </row>
    <row r="64" spans="2:8" x14ac:dyDescent="0.25">
      <c r="B64" s="16" t="s">
        <v>17</v>
      </c>
      <c r="C64" s="17">
        <v>2861</v>
      </c>
      <c r="D64" s="14" t="s">
        <v>170</v>
      </c>
      <c r="G64" s="18"/>
      <c r="H64" s="16"/>
    </row>
    <row r="65" spans="1:18" x14ac:dyDescent="0.25">
      <c r="B65" s="16" t="s">
        <v>98</v>
      </c>
      <c r="C65" s="17">
        <v>2886</v>
      </c>
      <c r="D65" s="14" t="s">
        <v>179</v>
      </c>
      <c r="G65" s="18"/>
      <c r="H65" s="16"/>
    </row>
    <row r="66" spans="1:18" x14ac:dyDescent="0.25">
      <c r="B66" s="16" t="s">
        <v>116</v>
      </c>
      <c r="C66" s="17">
        <v>3547</v>
      </c>
      <c r="D66" s="14" t="s">
        <v>183</v>
      </c>
      <c r="G66" s="18"/>
      <c r="H66" s="16"/>
    </row>
    <row r="67" spans="1:18" x14ac:dyDescent="0.25">
      <c r="B67" s="16" t="s">
        <v>141</v>
      </c>
      <c r="C67" s="17">
        <v>3753</v>
      </c>
      <c r="D67" s="14" t="s">
        <v>188</v>
      </c>
      <c r="G67" s="18"/>
      <c r="H67" s="16"/>
    </row>
    <row r="68" spans="1:18" x14ac:dyDescent="0.25">
      <c r="A68" s="19"/>
      <c r="B68" s="16" t="s">
        <v>52</v>
      </c>
      <c r="C68" s="17">
        <v>3744</v>
      </c>
      <c r="D68" s="14" t="s">
        <v>173</v>
      </c>
      <c r="H68" s="20"/>
    </row>
    <row r="69" spans="1:18" x14ac:dyDescent="0.25">
      <c r="A69" s="19"/>
      <c r="B69" s="16" t="s">
        <v>68</v>
      </c>
      <c r="C69" s="17">
        <v>3689</v>
      </c>
      <c r="D69" s="14" t="s">
        <v>174</v>
      </c>
    </row>
    <row r="70" spans="1:18" x14ac:dyDescent="0.25">
      <c r="A70" s="21"/>
      <c r="B70" s="16" t="s">
        <v>80</v>
      </c>
      <c r="C70" s="17">
        <v>3346</v>
      </c>
      <c r="D70" s="14" t="s">
        <v>175</v>
      </c>
    </row>
    <row r="71" spans="1:18" x14ac:dyDescent="0.25">
      <c r="A71" s="22"/>
      <c r="B71" s="16" t="s">
        <v>36</v>
      </c>
      <c r="C71" s="17">
        <v>3608</v>
      </c>
      <c r="D71" s="14" t="s">
        <v>172</v>
      </c>
      <c r="Q71" s="23"/>
      <c r="R71" s="24"/>
    </row>
    <row r="72" spans="1:18" ht="18" x14ac:dyDescent="0.25">
      <c r="A72" s="25"/>
      <c r="B72" s="16" t="s">
        <v>69</v>
      </c>
      <c r="C72" s="17">
        <v>2885</v>
      </c>
      <c r="D72" s="14" t="s">
        <v>174</v>
      </c>
    </row>
    <row r="73" spans="1:18" x14ac:dyDescent="0.25">
      <c r="B73" s="16" t="s">
        <v>70</v>
      </c>
      <c r="C73" s="17">
        <v>3736</v>
      </c>
      <c r="D73" s="14" t="s">
        <v>174</v>
      </c>
      <c r="G73" s="18"/>
      <c r="H73" s="16"/>
    </row>
    <row r="74" spans="1:18" x14ac:dyDescent="0.25">
      <c r="B74" s="16" t="s">
        <v>71</v>
      </c>
      <c r="C74" s="17">
        <v>3605</v>
      </c>
      <c r="D74" s="14" t="s">
        <v>174</v>
      </c>
      <c r="G74" s="18"/>
      <c r="H74" s="16"/>
    </row>
    <row r="75" spans="1:18" x14ac:dyDescent="0.25">
      <c r="B75" s="16" t="s">
        <v>162</v>
      </c>
      <c r="C75" s="17">
        <v>42</v>
      </c>
      <c r="D75" s="14" t="s">
        <v>190</v>
      </c>
      <c r="G75" s="18"/>
      <c r="H75" s="16"/>
    </row>
    <row r="76" spans="1:18" x14ac:dyDescent="0.25">
      <c r="B76" s="16" t="s">
        <v>138</v>
      </c>
      <c r="C76" s="17">
        <v>3069</v>
      </c>
      <c r="D76" s="14" t="s">
        <v>187</v>
      </c>
      <c r="G76" s="18"/>
      <c r="H76" s="16"/>
    </row>
    <row r="77" spans="1:18" x14ac:dyDescent="0.25">
      <c r="B77" s="16" t="s">
        <v>148</v>
      </c>
      <c r="C77" s="17">
        <v>3716</v>
      </c>
      <c r="D77" s="14" t="s">
        <v>189</v>
      </c>
      <c r="G77" s="18"/>
      <c r="H77" s="16"/>
    </row>
    <row r="78" spans="1:18" x14ac:dyDescent="0.25">
      <c r="A78" s="19"/>
      <c r="B78" s="16" t="s">
        <v>53</v>
      </c>
      <c r="C78" s="17">
        <v>3589</v>
      </c>
      <c r="D78" s="14" t="s">
        <v>173</v>
      </c>
      <c r="H78" s="20"/>
    </row>
    <row r="79" spans="1:18" x14ac:dyDescent="0.25">
      <c r="A79" s="19"/>
      <c r="B79" s="16" t="s">
        <v>37</v>
      </c>
      <c r="C79" s="17">
        <v>3723</v>
      </c>
      <c r="D79" s="14" t="s">
        <v>172</v>
      </c>
    </row>
    <row r="80" spans="1:18" x14ac:dyDescent="0.25">
      <c r="A80" s="21"/>
      <c r="B80" s="16" t="s">
        <v>129</v>
      </c>
      <c r="C80" s="17">
        <v>64</v>
      </c>
      <c r="D80" s="14" t="s">
        <v>185</v>
      </c>
    </row>
    <row r="81" spans="1:18" x14ac:dyDescent="0.25">
      <c r="A81" s="22"/>
      <c r="B81" s="16" t="s">
        <v>163</v>
      </c>
      <c r="C81" s="17">
        <v>38</v>
      </c>
      <c r="D81" s="14" t="s">
        <v>190</v>
      </c>
      <c r="Q81" s="23"/>
      <c r="R81" s="24"/>
    </row>
    <row r="82" spans="1:18" ht="18" x14ac:dyDescent="0.25">
      <c r="A82" s="25"/>
      <c r="B82" s="16" t="s">
        <v>164</v>
      </c>
      <c r="C82" s="17">
        <v>7</v>
      </c>
      <c r="D82" s="14" t="s">
        <v>190</v>
      </c>
    </row>
    <row r="83" spans="1:18" x14ac:dyDescent="0.25">
      <c r="A83" s="26"/>
      <c r="B83" s="16" t="s">
        <v>72</v>
      </c>
      <c r="C83" s="17">
        <v>2750</v>
      </c>
      <c r="D83" s="14" t="s">
        <v>174</v>
      </c>
      <c r="G83" s="27"/>
      <c r="H83" s="27"/>
    </row>
    <row r="84" spans="1:18" x14ac:dyDescent="0.25">
      <c r="B84" s="16" t="s">
        <v>99</v>
      </c>
      <c r="C84" s="17">
        <v>3754</v>
      </c>
      <c r="D84" s="14" t="s">
        <v>179</v>
      </c>
      <c r="G84" s="18"/>
      <c r="H84" s="16"/>
    </row>
    <row r="85" spans="1:18" x14ac:dyDescent="0.25">
      <c r="B85" s="16" t="s">
        <v>149</v>
      </c>
      <c r="C85" s="17">
        <v>9088</v>
      </c>
      <c r="D85" s="14" t="s">
        <v>189</v>
      </c>
      <c r="G85" s="18"/>
      <c r="H85" s="16"/>
    </row>
    <row r="86" spans="1:18" x14ac:dyDescent="0.25">
      <c r="B86" s="40" t="s">
        <v>200</v>
      </c>
      <c r="C86" s="43">
        <v>3798</v>
      </c>
      <c r="D86" s="14" t="s">
        <v>174</v>
      </c>
      <c r="G86" s="18"/>
      <c r="H86" s="16"/>
    </row>
    <row r="87" spans="1:18" x14ac:dyDescent="0.25">
      <c r="B87" s="16" t="s">
        <v>73</v>
      </c>
      <c r="C87" s="17">
        <v>3741</v>
      </c>
      <c r="D87" s="14" t="s">
        <v>174</v>
      </c>
      <c r="G87" s="18"/>
      <c r="H87" s="16"/>
    </row>
    <row r="88" spans="1:18" x14ac:dyDescent="0.25">
      <c r="B88" s="16" t="s">
        <v>85</v>
      </c>
      <c r="C88" s="17">
        <v>3157</v>
      </c>
      <c r="D88" s="14" t="s">
        <v>176</v>
      </c>
      <c r="G88" s="18"/>
      <c r="H88" s="16"/>
    </row>
    <row r="89" spans="1:18" x14ac:dyDescent="0.25">
      <c r="B89" s="16" t="s">
        <v>165</v>
      </c>
      <c r="C89" s="17">
        <v>6</v>
      </c>
      <c r="D89" s="14" t="s">
        <v>190</v>
      </c>
      <c r="G89" s="18"/>
      <c r="H89" s="16"/>
    </row>
    <row r="90" spans="1:18" x14ac:dyDescent="0.25">
      <c r="B90" s="16" t="s">
        <v>166</v>
      </c>
      <c r="C90" s="17">
        <v>21</v>
      </c>
      <c r="D90" s="14" t="s">
        <v>190</v>
      </c>
      <c r="G90" s="18"/>
      <c r="H90" s="16"/>
    </row>
    <row r="91" spans="1:18" x14ac:dyDescent="0.25">
      <c r="B91" s="16" t="s">
        <v>38</v>
      </c>
      <c r="C91" s="17">
        <v>3575</v>
      </c>
      <c r="D91" s="14" t="s">
        <v>172</v>
      </c>
      <c r="G91" s="18"/>
      <c r="H91" s="16"/>
    </row>
    <row r="92" spans="1:18" x14ac:dyDescent="0.25">
      <c r="A92" s="19"/>
      <c r="B92" s="16" t="s">
        <v>150</v>
      </c>
      <c r="C92" s="17">
        <v>9081</v>
      </c>
      <c r="D92" s="14" t="s">
        <v>189</v>
      </c>
      <c r="H92" s="20"/>
    </row>
    <row r="93" spans="1:18" x14ac:dyDescent="0.25">
      <c r="A93" s="19"/>
      <c r="B93" s="16" t="s">
        <v>130</v>
      </c>
      <c r="C93" s="17">
        <v>62</v>
      </c>
      <c r="D93" s="14" t="s">
        <v>185</v>
      </c>
    </row>
    <row r="94" spans="1:18" x14ac:dyDescent="0.25">
      <c r="A94" s="21"/>
      <c r="B94" s="16" t="s">
        <v>74</v>
      </c>
      <c r="C94" s="17">
        <v>2749</v>
      </c>
      <c r="D94" s="14" t="s">
        <v>174</v>
      </c>
    </row>
    <row r="95" spans="1:18" x14ac:dyDescent="0.25">
      <c r="A95" s="22"/>
      <c r="B95" s="16" t="s">
        <v>25</v>
      </c>
      <c r="C95" s="17">
        <v>3681</v>
      </c>
      <c r="D95" s="14" t="s">
        <v>171</v>
      </c>
      <c r="Q95" s="23"/>
      <c r="R95" s="24"/>
    </row>
    <row r="96" spans="1:18" x14ac:dyDescent="0.25">
      <c r="B96" s="16" t="s">
        <v>39</v>
      </c>
      <c r="C96" s="17">
        <v>3647</v>
      </c>
      <c r="D96" s="14" t="s">
        <v>172</v>
      </c>
      <c r="G96" s="18"/>
      <c r="H96" s="16"/>
    </row>
    <row r="97" spans="1:8" x14ac:dyDescent="0.25">
      <c r="B97" s="16" t="s">
        <v>94</v>
      </c>
      <c r="C97" s="17">
        <v>2612</v>
      </c>
      <c r="D97" s="14" t="s">
        <v>178</v>
      </c>
      <c r="G97" s="18"/>
      <c r="H97" s="16"/>
    </row>
    <row r="98" spans="1:8" x14ac:dyDescent="0.25">
      <c r="B98" s="16" t="s">
        <v>167</v>
      </c>
      <c r="C98" s="17">
        <v>39</v>
      </c>
      <c r="D98" s="14" t="s">
        <v>190</v>
      </c>
      <c r="G98" s="18"/>
      <c r="H98" s="16"/>
    </row>
    <row r="99" spans="1:8" x14ac:dyDescent="0.25">
      <c r="B99" s="16" t="s">
        <v>100</v>
      </c>
      <c r="C99" s="17">
        <v>3264</v>
      </c>
      <c r="D99" s="14" t="s">
        <v>179</v>
      </c>
      <c r="G99" s="18"/>
      <c r="H99" s="16"/>
    </row>
    <row r="100" spans="1:8" x14ac:dyDescent="0.25">
      <c r="B100" s="16" t="s">
        <v>18</v>
      </c>
      <c r="C100" s="17">
        <v>3742</v>
      </c>
      <c r="D100" s="14" t="s">
        <v>170</v>
      </c>
      <c r="G100" s="18"/>
      <c r="H100" s="16"/>
    </row>
    <row r="101" spans="1:8" x14ac:dyDescent="0.25">
      <c r="B101" s="16" t="s">
        <v>168</v>
      </c>
      <c r="C101" s="17">
        <v>26</v>
      </c>
      <c r="D101" s="14" t="s">
        <v>190</v>
      </c>
      <c r="G101" s="18"/>
      <c r="H101" s="16"/>
    </row>
    <row r="102" spans="1:8" x14ac:dyDescent="0.25">
      <c r="B102" s="16" t="s">
        <v>90</v>
      </c>
      <c r="C102" s="17">
        <v>3756</v>
      </c>
      <c r="D102" s="14" t="s">
        <v>177</v>
      </c>
      <c r="G102" s="18"/>
      <c r="H102" s="16"/>
    </row>
    <row r="103" spans="1:8" x14ac:dyDescent="0.25">
      <c r="B103" s="16" t="s">
        <v>75</v>
      </c>
      <c r="C103" s="17">
        <v>3674</v>
      </c>
      <c r="D103" s="14" t="s">
        <v>174</v>
      </c>
      <c r="G103" s="18"/>
      <c r="H103" s="16"/>
    </row>
    <row r="104" spans="1:8" x14ac:dyDescent="0.25">
      <c r="B104" s="16" t="s">
        <v>108</v>
      </c>
      <c r="C104" s="17">
        <v>3698</v>
      </c>
      <c r="D104" s="14" t="s">
        <v>181</v>
      </c>
      <c r="G104" s="18"/>
      <c r="H104" s="16"/>
    </row>
    <row r="105" spans="1:8" x14ac:dyDescent="0.25">
      <c r="B105" s="16" t="s">
        <v>76</v>
      </c>
      <c r="C105" s="17">
        <v>3517</v>
      </c>
      <c r="D105" s="14" t="s">
        <v>174</v>
      </c>
      <c r="G105" s="18"/>
      <c r="H105" s="16"/>
    </row>
    <row r="106" spans="1:8" x14ac:dyDescent="0.25">
      <c r="B106" s="16" t="s">
        <v>142</v>
      </c>
      <c r="C106" s="17">
        <v>2790</v>
      </c>
      <c r="D106" s="14" t="s">
        <v>188</v>
      </c>
      <c r="G106" s="18"/>
      <c r="H106" s="16"/>
    </row>
    <row r="107" spans="1:8" x14ac:dyDescent="0.25">
      <c r="B107" s="16" t="s">
        <v>111</v>
      </c>
      <c r="C107" s="17">
        <v>2603</v>
      </c>
      <c r="D107" s="14" t="s">
        <v>182</v>
      </c>
      <c r="G107" s="18"/>
      <c r="H107" s="16"/>
    </row>
    <row r="108" spans="1:8" x14ac:dyDescent="0.25">
      <c r="B108" s="16" t="s">
        <v>135</v>
      </c>
      <c r="C108" s="17">
        <v>3489</v>
      </c>
      <c r="D108" s="14" t="s">
        <v>186</v>
      </c>
      <c r="G108" s="18"/>
      <c r="H108" s="16"/>
    </row>
    <row r="109" spans="1:8" x14ac:dyDescent="0.25">
      <c r="B109" s="16" t="s">
        <v>151</v>
      </c>
      <c r="C109" s="17">
        <v>9089</v>
      </c>
      <c r="D109" s="14" t="s">
        <v>189</v>
      </c>
      <c r="G109" s="18"/>
      <c r="H109" s="16"/>
    </row>
    <row r="110" spans="1:8" x14ac:dyDescent="0.25">
      <c r="B110" s="16" t="s">
        <v>91</v>
      </c>
      <c r="C110" s="17">
        <v>2967</v>
      </c>
      <c r="D110" s="14" t="s">
        <v>177</v>
      </c>
      <c r="G110" s="18"/>
      <c r="H110" s="16"/>
    </row>
    <row r="111" spans="1:8" x14ac:dyDescent="0.25">
      <c r="A111" s="19"/>
      <c r="B111" s="16" t="s">
        <v>152</v>
      </c>
      <c r="C111" s="17">
        <v>9090</v>
      </c>
      <c r="D111" s="14" t="s">
        <v>189</v>
      </c>
      <c r="H111" s="20"/>
    </row>
    <row r="112" spans="1:8" x14ac:dyDescent="0.25">
      <c r="A112" s="19"/>
      <c r="B112" s="16" t="s">
        <v>153</v>
      </c>
      <c r="C112" s="17">
        <v>9091</v>
      </c>
      <c r="D112" s="14" t="s">
        <v>189</v>
      </c>
    </row>
    <row r="113" spans="1:18" x14ac:dyDescent="0.25">
      <c r="A113" s="21"/>
      <c r="B113" s="16" t="s">
        <v>154</v>
      </c>
      <c r="C113" s="17">
        <v>2898</v>
      </c>
      <c r="D113" s="14" t="s">
        <v>189</v>
      </c>
    </row>
    <row r="114" spans="1:18" x14ac:dyDescent="0.25">
      <c r="A114" s="22"/>
      <c r="B114" s="40" t="s">
        <v>199</v>
      </c>
      <c r="C114" s="43">
        <v>3782</v>
      </c>
      <c r="D114" s="14" t="s">
        <v>174</v>
      </c>
      <c r="Q114" s="23"/>
      <c r="R114" s="24"/>
    </row>
    <row r="115" spans="1:18" ht="18" x14ac:dyDescent="0.25">
      <c r="A115" s="25"/>
      <c r="B115" s="16" t="s">
        <v>86</v>
      </c>
      <c r="C115" s="17">
        <v>3633</v>
      </c>
      <c r="D115" s="14" t="s">
        <v>176</v>
      </c>
    </row>
    <row r="116" spans="1:18" x14ac:dyDescent="0.25">
      <c r="B116" s="16" t="s">
        <v>54</v>
      </c>
      <c r="C116" s="17">
        <v>3703</v>
      </c>
      <c r="D116" s="14" t="s">
        <v>173</v>
      </c>
      <c r="G116" s="18"/>
      <c r="H116" s="16"/>
    </row>
    <row r="117" spans="1:18" x14ac:dyDescent="0.25">
      <c r="B117" s="16" t="s">
        <v>81</v>
      </c>
      <c r="C117" s="17">
        <v>3167</v>
      </c>
      <c r="D117" s="14" t="s">
        <v>175</v>
      </c>
      <c r="G117" s="18"/>
      <c r="H117" s="16"/>
    </row>
    <row r="118" spans="1:18" x14ac:dyDescent="0.25">
      <c r="B118" s="16" t="s">
        <v>55</v>
      </c>
      <c r="C118" s="17">
        <v>3752</v>
      </c>
      <c r="D118" s="14" t="s">
        <v>173</v>
      </c>
      <c r="G118" s="18"/>
      <c r="H118" s="16"/>
    </row>
    <row r="119" spans="1:18" x14ac:dyDescent="0.25">
      <c r="B119" s="16" t="s">
        <v>26</v>
      </c>
      <c r="C119" s="17">
        <v>3014</v>
      </c>
      <c r="D119" s="14" t="s">
        <v>171</v>
      </c>
      <c r="G119" s="18"/>
      <c r="H119" s="16"/>
    </row>
    <row r="120" spans="1:18" x14ac:dyDescent="0.25">
      <c r="B120" s="16" t="s">
        <v>155</v>
      </c>
      <c r="C120" s="17">
        <v>9086</v>
      </c>
      <c r="D120" s="14" t="s">
        <v>189</v>
      </c>
      <c r="G120" s="18"/>
      <c r="H120" s="16"/>
    </row>
    <row r="121" spans="1:18" x14ac:dyDescent="0.25">
      <c r="B121" s="16" t="s">
        <v>101</v>
      </c>
      <c r="C121" s="17">
        <v>2910</v>
      </c>
      <c r="D121" s="14" t="s">
        <v>179</v>
      </c>
      <c r="G121" s="18"/>
      <c r="H121" s="16"/>
    </row>
    <row r="122" spans="1:18" x14ac:dyDescent="0.25">
      <c r="B122" s="16" t="s">
        <v>56</v>
      </c>
      <c r="C122" s="17">
        <v>3711</v>
      </c>
      <c r="D122" s="14" t="s">
        <v>173</v>
      </c>
      <c r="G122" s="18"/>
      <c r="H122" s="16"/>
    </row>
    <row r="123" spans="1:18" x14ac:dyDescent="0.25">
      <c r="B123" s="16" t="s">
        <v>27</v>
      </c>
      <c r="C123" s="17">
        <v>3755</v>
      </c>
      <c r="D123" s="14" t="s">
        <v>171</v>
      </c>
      <c r="G123" s="18"/>
      <c r="H123" s="16"/>
    </row>
    <row r="124" spans="1:18" x14ac:dyDescent="0.25">
      <c r="B124" s="16" t="s">
        <v>122</v>
      </c>
      <c r="C124" s="17">
        <v>3511</v>
      </c>
      <c r="D124" s="14" t="s">
        <v>184</v>
      </c>
      <c r="G124" s="18"/>
      <c r="H124" s="16"/>
    </row>
    <row r="125" spans="1:18" x14ac:dyDescent="0.25">
      <c r="A125" s="19"/>
      <c r="B125" s="16" t="s">
        <v>77</v>
      </c>
      <c r="C125" s="17">
        <v>3721</v>
      </c>
      <c r="D125" s="14" t="s">
        <v>174</v>
      </c>
      <c r="H125" s="20"/>
    </row>
    <row r="126" spans="1:18" x14ac:dyDescent="0.25">
      <c r="A126" s="19"/>
      <c r="B126" s="16" t="s">
        <v>57</v>
      </c>
      <c r="C126" s="17">
        <v>3243</v>
      </c>
      <c r="D126" s="14" t="s">
        <v>173</v>
      </c>
    </row>
    <row r="127" spans="1:18" x14ac:dyDescent="0.25">
      <c r="A127" s="21"/>
      <c r="B127" s="16" t="s">
        <v>58</v>
      </c>
      <c r="C127" s="17">
        <v>3473</v>
      </c>
      <c r="D127" s="14" t="s">
        <v>173</v>
      </c>
    </row>
    <row r="128" spans="1:18" x14ac:dyDescent="0.25">
      <c r="B128" s="16" t="s">
        <v>40</v>
      </c>
      <c r="C128" s="17">
        <v>3712</v>
      </c>
      <c r="D128" s="14" t="s">
        <v>172</v>
      </c>
      <c r="G128" s="18"/>
      <c r="H128" s="16"/>
    </row>
    <row r="129" spans="2:8" x14ac:dyDescent="0.25">
      <c r="B129" s="16" t="s">
        <v>117</v>
      </c>
      <c r="C129" s="17">
        <v>3561</v>
      </c>
      <c r="D129" s="14" t="s">
        <v>183</v>
      </c>
      <c r="G129" s="18"/>
      <c r="H129" s="16"/>
    </row>
    <row r="130" spans="2:8" x14ac:dyDescent="0.25">
      <c r="B130" s="16" t="s">
        <v>78</v>
      </c>
      <c r="C130" s="17">
        <v>3730</v>
      </c>
      <c r="D130" s="14" t="s">
        <v>174</v>
      </c>
      <c r="G130" s="18"/>
      <c r="H130" s="16"/>
    </row>
    <row r="131" spans="2:8" x14ac:dyDescent="0.25">
      <c r="B131" s="16" t="s">
        <v>92</v>
      </c>
      <c r="C131" s="17">
        <v>3686</v>
      </c>
      <c r="D131" s="14" t="s">
        <v>177</v>
      </c>
      <c r="G131" s="18"/>
      <c r="H131" s="16"/>
    </row>
    <row r="132" spans="2:8" x14ac:dyDescent="0.25">
      <c r="B132" s="16" t="s">
        <v>143</v>
      </c>
      <c r="C132" s="17">
        <v>3586</v>
      </c>
      <c r="D132" s="14" t="s">
        <v>188</v>
      </c>
      <c r="G132" s="18"/>
      <c r="H132" s="16"/>
    </row>
    <row r="133" spans="2:8" x14ac:dyDescent="0.25">
      <c r="B133" s="16" t="s">
        <v>41</v>
      </c>
      <c r="C133" s="17">
        <v>3749</v>
      </c>
      <c r="D133" s="14" t="s">
        <v>172</v>
      </c>
      <c r="G133" s="18"/>
      <c r="H133" s="16"/>
    </row>
    <row r="134" spans="2:8" x14ac:dyDescent="0.25">
      <c r="B134" s="16" t="s">
        <v>14</v>
      </c>
      <c r="C134" s="17">
        <v>3705</v>
      </c>
      <c r="D134" s="14" t="s">
        <v>170</v>
      </c>
      <c r="G134" s="18"/>
      <c r="H134" s="16"/>
    </row>
    <row r="135" spans="2:8" x14ac:dyDescent="0.25">
      <c r="B135" s="16" t="s">
        <v>59</v>
      </c>
      <c r="C135" s="17">
        <v>3591</v>
      </c>
      <c r="D135" s="14" t="s">
        <v>173</v>
      </c>
      <c r="G135" s="18"/>
      <c r="H135" s="16"/>
    </row>
    <row r="136" spans="2:8" x14ac:dyDescent="0.25">
      <c r="B136" s="16" t="s">
        <v>118</v>
      </c>
      <c r="C136" s="17">
        <v>3047</v>
      </c>
      <c r="D136" s="14" t="s">
        <v>183</v>
      </c>
      <c r="G136" s="18"/>
      <c r="H136" s="16"/>
    </row>
    <row r="137" spans="2:8" x14ac:dyDescent="0.25">
      <c r="B137" s="16" t="s">
        <v>28</v>
      </c>
      <c r="C137" s="17">
        <v>3725</v>
      </c>
      <c r="D137" s="14" t="s">
        <v>171</v>
      </c>
      <c r="G137" s="18"/>
      <c r="H137" s="16"/>
    </row>
    <row r="138" spans="2:8" x14ac:dyDescent="0.25">
      <c r="B138" s="16" t="s">
        <v>119</v>
      </c>
      <c r="C138" s="17">
        <v>3733</v>
      </c>
      <c r="D138" s="14" t="s">
        <v>183</v>
      </c>
      <c r="G138" s="18"/>
      <c r="H138" s="16"/>
    </row>
    <row r="139" spans="2:8" x14ac:dyDescent="0.25">
      <c r="B139" s="16" t="s">
        <v>120</v>
      </c>
      <c r="C139" s="17">
        <v>1998</v>
      </c>
      <c r="D139" s="14" t="s">
        <v>183</v>
      </c>
      <c r="G139" s="18"/>
      <c r="H139" s="16"/>
    </row>
    <row r="140" spans="2:8" x14ac:dyDescent="0.25">
      <c r="B140" s="16" t="s">
        <v>60</v>
      </c>
      <c r="C140" s="17">
        <v>3063</v>
      </c>
      <c r="D140" s="14" t="s">
        <v>173</v>
      </c>
      <c r="G140" s="18"/>
      <c r="H140" s="16"/>
    </row>
    <row r="141" spans="2:8" x14ac:dyDescent="0.25">
      <c r="B141" s="16" t="s">
        <v>15</v>
      </c>
      <c r="C141" s="17">
        <v>3751</v>
      </c>
      <c r="D141" s="14" t="s">
        <v>170</v>
      </c>
      <c r="G141" s="18"/>
      <c r="H141" s="16"/>
    </row>
    <row r="142" spans="2:8" x14ac:dyDescent="0.25">
      <c r="B142" s="16" t="s">
        <v>121</v>
      </c>
      <c r="C142" s="17">
        <v>3071</v>
      </c>
      <c r="D142" s="14" t="s">
        <v>183</v>
      </c>
      <c r="G142" s="18"/>
      <c r="H142" s="16"/>
    </row>
    <row r="143" spans="2:8" x14ac:dyDescent="0.25">
      <c r="B143" s="16" t="s">
        <v>136</v>
      </c>
      <c r="C143" s="17">
        <v>3702</v>
      </c>
      <c r="D143" s="14" t="s">
        <v>186</v>
      </c>
      <c r="G143" s="18"/>
      <c r="H143" s="16"/>
    </row>
    <row r="144" spans="2:8" x14ac:dyDescent="0.25">
      <c r="B144" s="16" t="s">
        <v>105</v>
      </c>
      <c r="C144" s="17">
        <v>3524</v>
      </c>
      <c r="D144" s="14" t="s">
        <v>180</v>
      </c>
      <c r="G144" s="18"/>
      <c r="H144" s="16"/>
    </row>
    <row r="145" spans="2:8" x14ac:dyDescent="0.25">
      <c r="B145" s="16" t="s">
        <v>131</v>
      </c>
      <c r="C145" s="17">
        <v>3031</v>
      </c>
      <c r="D145" s="14" t="s">
        <v>185</v>
      </c>
      <c r="G145" s="18"/>
      <c r="H145" s="16"/>
    </row>
    <row r="146" spans="2:8" x14ac:dyDescent="0.25">
      <c r="B146" s="16" t="s">
        <v>61</v>
      </c>
      <c r="C146" s="17">
        <v>3657</v>
      </c>
      <c r="D146" s="14" t="s">
        <v>173</v>
      </c>
      <c r="G146" s="18"/>
      <c r="H146" s="16"/>
    </row>
    <row r="147" spans="2:8" x14ac:dyDescent="0.25">
      <c r="B147" s="40" t="s">
        <v>204</v>
      </c>
      <c r="C147" s="43">
        <v>3794</v>
      </c>
      <c r="D147" s="14" t="s">
        <v>188</v>
      </c>
      <c r="G147" s="18"/>
      <c r="H147" s="16"/>
    </row>
    <row r="148" spans="2:8" x14ac:dyDescent="0.25">
      <c r="B148" s="16" t="s">
        <v>112</v>
      </c>
      <c r="C148" s="17">
        <v>2969</v>
      </c>
      <c r="D148" s="14" t="s">
        <v>182</v>
      </c>
      <c r="G148" s="18"/>
      <c r="H148" s="16"/>
    </row>
    <row r="149" spans="2:8" x14ac:dyDescent="0.25">
      <c r="B149" s="16" t="s">
        <v>16</v>
      </c>
      <c r="C149" s="17">
        <v>3679</v>
      </c>
      <c r="D149" s="14" t="s">
        <v>170</v>
      </c>
      <c r="G149" s="18"/>
      <c r="H149" s="16"/>
    </row>
    <row r="150" spans="2:8" x14ac:dyDescent="0.25">
      <c r="B150" s="16" t="s">
        <v>113</v>
      </c>
      <c r="C150" s="17">
        <v>3347</v>
      </c>
      <c r="D150" s="14" t="s">
        <v>182</v>
      </c>
      <c r="G150" s="18"/>
      <c r="H150" s="16"/>
    </row>
    <row r="151" spans="2:8" x14ac:dyDescent="0.25">
      <c r="B151" s="16" t="s">
        <v>132</v>
      </c>
      <c r="C151" s="17">
        <v>3718</v>
      </c>
      <c r="D151" s="14" t="s">
        <v>185</v>
      </c>
      <c r="G151" s="18"/>
      <c r="H151" s="16"/>
    </row>
    <row r="152" spans="2:8" x14ac:dyDescent="0.25">
      <c r="B152" s="16" t="s">
        <v>42</v>
      </c>
      <c r="C152" s="17">
        <v>3595</v>
      </c>
      <c r="D152" s="14" t="s">
        <v>172</v>
      </c>
      <c r="G152" s="18"/>
      <c r="H152" s="16"/>
    </row>
    <row r="153" spans="2:8" x14ac:dyDescent="0.25">
      <c r="B153" s="16" t="s">
        <v>43</v>
      </c>
      <c r="C153" s="17">
        <v>3737</v>
      </c>
      <c r="D153" s="14" t="s">
        <v>172</v>
      </c>
      <c r="G153" s="18"/>
      <c r="H153" s="16"/>
    </row>
    <row r="154" spans="2:8" x14ac:dyDescent="0.25">
      <c r="B154" s="40" t="s">
        <v>202</v>
      </c>
      <c r="C154" s="43">
        <v>3795</v>
      </c>
      <c r="D154" s="14" t="s">
        <v>176</v>
      </c>
      <c r="G154" s="18"/>
      <c r="H154" s="16"/>
    </row>
    <row r="155" spans="2:8" x14ac:dyDescent="0.25">
      <c r="B155" s="16" t="s">
        <v>123</v>
      </c>
      <c r="C155" s="17">
        <v>3670</v>
      </c>
      <c r="D155" s="14" t="s">
        <v>184</v>
      </c>
      <c r="G155" s="18"/>
      <c r="H155" s="16"/>
    </row>
    <row r="156" spans="2:8" x14ac:dyDescent="0.25">
      <c r="B156" s="16" t="s">
        <v>93</v>
      </c>
      <c r="C156" s="17">
        <v>3664</v>
      </c>
      <c r="D156" s="14" t="s">
        <v>177</v>
      </c>
      <c r="G156" s="18"/>
      <c r="H156" s="16"/>
    </row>
    <row r="157" spans="2:8" x14ac:dyDescent="0.25">
      <c r="B157" s="16" t="s">
        <v>109</v>
      </c>
      <c r="C157" s="17">
        <v>3414</v>
      </c>
      <c r="D157" s="14" t="s">
        <v>181</v>
      </c>
      <c r="G157" s="18"/>
      <c r="H157" s="16"/>
    </row>
    <row r="158" spans="2:8" x14ac:dyDescent="0.25">
      <c r="B158" s="16" t="s">
        <v>169</v>
      </c>
      <c r="C158" s="17">
        <v>27</v>
      </c>
      <c r="D158" s="14" t="s">
        <v>190</v>
      </c>
      <c r="G158" s="18"/>
      <c r="H158" s="16"/>
    </row>
    <row r="159" spans="2:8" x14ac:dyDescent="0.25">
      <c r="B159" s="16" t="s">
        <v>29</v>
      </c>
      <c r="C159" s="17">
        <v>2950</v>
      </c>
      <c r="D159" s="14" t="s">
        <v>171</v>
      </c>
    </row>
    <row r="160" spans="2:8" ht="15.75" thickBot="1" x14ac:dyDescent="0.3">
      <c r="B160" s="40" t="s">
        <v>201</v>
      </c>
      <c r="C160" s="64">
        <v>3788</v>
      </c>
      <c r="D160" s="14" t="s">
        <v>176</v>
      </c>
    </row>
    <row r="161" spans="2:4" ht="16.5" thickTop="1" thickBot="1" x14ac:dyDescent="0.3">
      <c r="B161" s="16" t="s">
        <v>156</v>
      </c>
      <c r="C161" s="45">
        <v>9085</v>
      </c>
      <c r="D161" s="14" t="s">
        <v>189</v>
      </c>
    </row>
    <row r="162" spans="2:4" ht="16.5" thickTop="1" thickBot="1" x14ac:dyDescent="0.3">
      <c r="B162" s="16" t="s">
        <v>124</v>
      </c>
      <c r="C162" s="45">
        <v>3471</v>
      </c>
      <c r="D162" s="14" t="s">
        <v>184</v>
      </c>
    </row>
    <row r="163" spans="2:4" ht="16.5" thickTop="1" thickBot="1" x14ac:dyDescent="0.3">
      <c r="B163" s="16" t="s">
        <v>157</v>
      </c>
      <c r="C163" s="45">
        <v>3626</v>
      </c>
      <c r="D163" s="14" t="s">
        <v>189</v>
      </c>
    </row>
    <row r="164" spans="2:4" ht="16.5" thickTop="1" thickBot="1" x14ac:dyDescent="0.3">
      <c r="B164" s="16" t="s">
        <v>158</v>
      </c>
      <c r="C164" s="45">
        <v>9083</v>
      </c>
      <c r="D164" s="14" t="s">
        <v>189</v>
      </c>
    </row>
    <row r="165" spans="2:4" ht="16.5" thickTop="1" thickBot="1" x14ac:dyDescent="0.3">
      <c r="B165" s="16" t="s">
        <v>102</v>
      </c>
      <c r="C165" s="45">
        <v>3634</v>
      </c>
      <c r="D165" s="14" t="s">
        <v>179</v>
      </c>
    </row>
    <row r="166" spans="2:4" ht="16.5" thickTop="1" thickBot="1" x14ac:dyDescent="0.3">
      <c r="B166" s="16" t="s">
        <v>133</v>
      </c>
      <c r="C166" s="45">
        <v>63</v>
      </c>
      <c r="D166" s="14" t="s">
        <v>185</v>
      </c>
    </row>
    <row r="167" spans="2:4" ht="16.5" thickTop="1" thickBot="1" x14ac:dyDescent="0.3">
      <c r="B167" s="16" t="s">
        <v>106</v>
      </c>
      <c r="C167" s="45">
        <v>2857</v>
      </c>
      <c r="D167" s="14" t="s">
        <v>180</v>
      </c>
    </row>
    <row r="168" spans="2:4" ht="16.5" thickTop="1" thickBot="1" x14ac:dyDescent="0.3">
      <c r="B168" s="16" t="s">
        <v>125</v>
      </c>
      <c r="C168" s="45">
        <v>3748</v>
      </c>
      <c r="D168" s="14" t="s">
        <v>184</v>
      </c>
    </row>
    <row r="169" spans="2:4" ht="16.5" thickTop="1" thickBot="1" x14ac:dyDescent="0.3">
      <c r="B169" s="16"/>
      <c r="C169" s="45"/>
    </row>
    <row r="170" spans="2:4" ht="16.5" thickTop="1" thickBot="1" x14ac:dyDescent="0.3">
      <c r="B170" s="40"/>
      <c r="C170" s="64"/>
    </row>
    <row r="171" spans="2:4" ht="16.5" thickTop="1" thickBot="1" x14ac:dyDescent="0.3">
      <c r="B171" s="40"/>
      <c r="C171" s="41"/>
    </row>
    <row r="172" spans="2:4" ht="16.5" thickTop="1" thickBot="1" x14ac:dyDescent="0.3">
      <c r="B172" s="40"/>
      <c r="C172" s="41"/>
    </row>
    <row r="173" spans="2:4" ht="16.5" thickTop="1" thickBot="1" x14ac:dyDescent="0.3">
      <c r="B173" s="40"/>
      <c r="C173" s="41"/>
    </row>
    <row r="174" spans="2:4" ht="16.5" thickTop="1" thickBot="1" x14ac:dyDescent="0.3">
      <c r="B174" s="40"/>
      <c r="C174" s="41"/>
    </row>
    <row r="175" spans="2:4" ht="16.5" thickTop="1" thickBot="1" x14ac:dyDescent="0.3">
      <c r="B175" s="40"/>
      <c r="C175" s="41"/>
    </row>
    <row r="176" spans="2:4" ht="16.5" thickTop="1" thickBot="1" x14ac:dyDescent="0.3">
      <c r="B176" s="40"/>
      <c r="C176" s="41"/>
    </row>
    <row r="177" spans="2:3" ht="16.5" thickTop="1" thickBot="1" x14ac:dyDescent="0.3">
      <c r="B177" s="40"/>
      <c r="C177" s="41"/>
    </row>
    <row r="178" spans="2:3" ht="16.5" thickTop="1" thickBot="1" x14ac:dyDescent="0.3">
      <c r="B178" s="40"/>
      <c r="C178" s="41"/>
    </row>
    <row r="179" spans="2:3" ht="16.5" thickTop="1" thickBot="1" x14ac:dyDescent="0.3">
      <c r="B179" s="40"/>
      <c r="C179" s="41"/>
    </row>
    <row r="180" spans="2:3" ht="16.5" thickTop="1" thickBot="1" x14ac:dyDescent="0.3">
      <c r="B180" s="40"/>
      <c r="C180" s="41"/>
    </row>
    <row r="181" spans="2:3" ht="16.5" thickTop="1" thickBot="1" x14ac:dyDescent="0.3">
      <c r="B181" s="40"/>
      <c r="C181" s="41"/>
    </row>
    <row r="182" spans="2:3" ht="16.5" thickTop="1" thickBot="1" x14ac:dyDescent="0.3">
      <c r="B182" s="40"/>
      <c r="C182" s="41"/>
    </row>
    <row r="183" spans="2:3" ht="16.5" thickTop="1" thickBot="1" x14ac:dyDescent="0.3">
      <c r="B183" s="40"/>
      <c r="C183" s="41"/>
    </row>
    <row r="184" spans="2:3" ht="16.5" thickTop="1" thickBot="1" x14ac:dyDescent="0.3">
      <c r="B184" s="40"/>
      <c r="C184" s="41"/>
    </row>
    <row r="185" spans="2:3" ht="16.5" thickTop="1" thickBot="1" x14ac:dyDescent="0.3">
      <c r="B185" s="40"/>
      <c r="C185" s="41"/>
    </row>
    <row r="186" spans="2:3" ht="16.5" thickTop="1" thickBot="1" x14ac:dyDescent="0.3">
      <c r="B186" s="40"/>
      <c r="C186" s="41"/>
    </row>
    <row r="187" spans="2:3" ht="16.5" thickTop="1" thickBot="1" x14ac:dyDescent="0.3">
      <c r="B187" s="40"/>
      <c r="C187" s="41"/>
    </row>
    <row r="188" spans="2:3" ht="16.5" thickTop="1" thickBot="1" x14ac:dyDescent="0.3">
      <c r="B188" s="40"/>
      <c r="C188" s="41"/>
    </row>
    <row r="189" spans="2:3" ht="16.5" thickTop="1" thickBot="1" x14ac:dyDescent="0.3">
      <c r="B189" s="40"/>
      <c r="C189" s="41"/>
    </row>
    <row r="190" spans="2:3" ht="16.5" thickTop="1" thickBot="1" x14ac:dyDescent="0.3">
      <c r="B190" s="40"/>
      <c r="C190" s="41"/>
    </row>
    <row r="191" spans="2:3" ht="16.5" thickTop="1" thickBot="1" x14ac:dyDescent="0.3">
      <c r="B191" s="40"/>
      <c r="C191" s="41"/>
    </row>
    <row r="192" spans="2:3" ht="16.5" thickTop="1" thickBot="1" x14ac:dyDescent="0.3">
      <c r="B192" s="40"/>
      <c r="C192" s="41"/>
    </row>
    <row r="193" spans="2:4" ht="16.5" thickTop="1" thickBot="1" x14ac:dyDescent="0.3">
      <c r="B193" s="40"/>
      <c r="C193" s="41"/>
    </row>
    <row r="194" spans="2:4" ht="16.5" thickTop="1" thickBot="1" x14ac:dyDescent="0.3">
      <c r="B194" s="40"/>
      <c r="C194" s="41"/>
    </row>
    <row r="195" spans="2:4" ht="16.5" thickTop="1" thickBot="1" x14ac:dyDescent="0.3">
      <c r="B195" s="40"/>
      <c r="C195" s="41"/>
    </row>
    <row r="196" spans="2:4" ht="16.5" thickTop="1" thickBot="1" x14ac:dyDescent="0.3">
      <c r="B196" s="40"/>
      <c r="C196" s="41"/>
    </row>
    <row r="197" spans="2:4" ht="16.5" thickTop="1" thickBot="1" x14ac:dyDescent="0.3">
      <c r="B197" s="40"/>
      <c r="C197" s="41"/>
    </row>
    <row r="198" spans="2:4" ht="15.75" thickTop="1" x14ac:dyDescent="0.25">
      <c r="B198" s="42"/>
      <c r="C198" s="43"/>
      <c r="D198" s="44"/>
    </row>
  </sheetData>
  <sheetProtection sort="0" autoFilter="0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P68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ColWidth="0" defaultRowHeight="15" customHeight="1" x14ac:dyDescent="0.35"/>
  <cols>
    <col min="1" max="1" width="12" customWidth="1"/>
    <col min="2" max="2" width="32.140625" customWidth="1"/>
    <col min="3" max="3" width="12.5703125" style="1" customWidth="1"/>
    <col min="4" max="4" width="17.7109375" style="1" customWidth="1"/>
    <col min="5" max="5" width="13.28515625" style="2" customWidth="1"/>
    <col min="6" max="6" width="12.85546875" style="2" customWidth="1"/>
    <col min="7" max="7" width="11.28515625" style="1" bestFit="1" customWidth="1"/>
    <col min="8" max="8" width="19" style="1" customWidth="1"/>
    <col min="9" max="9" width="17.28515625" bestFit="1" customWidth="1"/>
    <col min="10" max="10" width="17.28515625" style="84" customWidth="1"/>
    <col min="11" max="11" width="3.7109375" style="73" customWidth="1"/>
    <col min="12" max="12" width="4.5703125" style="54" customWidth="1"/>
    <col min="13" max="13" width="4.5703125" style="76" customWidth="1"/>
    <col min="14" max="14" width="4.5703125" style="79" customWidth="1"/>
    <col min="15" max="15" width="23.28515625" style="39" customWidth="1"/>
    <col min="16" max="19" width="9.140625" hidden="1" customWidth="1"/>
    <col min="20" max="16384" width="9.140625" hidden="1"/>
  </cols>
  <sheetData>
    <row r="1" spans="1:16" ht="54" customHeight="1" x14ac:dyDescent="0.25">
      <c r="A1" s="88" t="s">
        <v>6</v>
      </c>
      <c r="B1" s="88"/>
      <c r="C1" s="88"/>
      <c r="D1" s="88"/>
      <c r="E1" s="88"/>
      <c r="F1" s="88"/>
      <c r="G1" s="88"/>
      <c r="H1" s="88"/>
      <c r="I1" s="88"/>
      <c r="J1" s="81"/>
      <c r="K1" s="70"/>
      <c r="L1" s="51"/>
      <c r="M1" s="55"/>
      <c r="N1" s="56"/>
      <c r="O1" s="80">
        <v>1</v>
      </c>
      <c r="P1">
        <v>2</v>
      </c>
    </row>
    <row r="2" spans="1:16" s="67" customFormat="1" ht="40.5" x14ac:dyDescent="0.35">
      <c r="A2" s="4" t="s">
        <v>193</v>
      </c>
      <c r="B2" s="3" t="s">
        <v>0</v>
      </c>
      <c r="C2" s="3" t="s">
        <v>1</v>
      </c>
      <c r="D2" s="3" t="s">
        <v>2</v>
      </c>
      <c r="E2" s="4" t="s">
        <v>8</v>
      </c>
      <c r="F2" s="4" t="s">
        <v>7</v>
      </c>
      <c r="G2" s="3" t="s">
        <v>3</v>
      </c>
      <c r="H2" s="3" t="s">
        <v>207</v>
      </c>
      <c r="I2" s="3" t="s">
        <v>4</v>
      </c>
      <c r="J2" s="82" t="s">
        <v>209</v>
      </c>
      <c r="K2" s="71"/>
      <c r="L2" s="52"/>
      <c r="M2" s="74"/>
      <c r="N2" s="77"/>
      <c r="O2" s="66"/>
    </row>
    <row r="3" spans="1:16" s="38" customFormat="1" ht="15" customHeight="1" x14ac:dyDescent="0.35">
      <c r="A3" s="57">
        <v>44805</v>
      </c>
      <c r="B3" s="58" t="s">
        <v>58</v>
      </c>
      <c r="C3" s="59">
        <v>3473</v>
      </c>
      <c r="D3" s="59" t="s">
        <v>173</v>
      </c>
      <c r="E3" s="60">
        <v>44800</v>
      </c>
      <c r="F3" s="60">
        <v>44800</v>
      </c>
      <c r="G3" s="61">
        <v>1</v>
      </c>
      <c r="H3" s="62">
        <v>34</v>
      </c>
      <c r="I3" s="63">
        <v>37.06</v>
      </c>
      <c r="J3" s="83"/>
      <c r="K3" s="72"/>
      <c r="L3" s="53"/>
      <c r="M3" s="75"/>
      <c r="N3" s="78"/>
    </row>
    <row r="4" spans="1:16" s="38" customFormat="1" ht="15" customHeight="1" x14ac:dyDescent="0.35">
      <c r="A4" s="57">
        <v>44805</v>
      </c>
      <c r="B4" s="58" t="s">
        <v>123</v>
      </c>
      <c r="C4" s="59">
        <v>3670</v>
      </c>
      <c r="D4" s="59" t="s">
        <v>184</v>
      </c>
      <c r="E4" s="60">
        <v>44800</v>
      </c>
      <c r="F4" s="60">
        <v>44800</v>
      </c>
      <c r="G4" s="61">
        <v>1</v>
      </c>
      <c r="H4" s="62">
        <v>12</v>
      </c>
      <c r="I4" s="63">
        <v>13.080000000000002</v>
      </c>
      <c r="J4" s="83"/>
      <c r="K4" s="72"/>
      <c r="L4" s="53"/>
      <c r="M4" s="75"/>
      <c r="N4" s="78"/>
    </row>
    <row r="5" spans="1:16" ht="15" customHeight="1" x14ac:dyDescent="0.35">
      <c r="A5" s="57">
        <v>44805</v>
      </c>
      <c r="B5" s="58" t="s">
        <v>205</v>
      </c>
      <c r="C5" s="59">
        <v>3780</v>
      </c>
      <c r="D5" s="59" t="s">
        <v>173</v>
      </c>
      <c r="E5" s="60">
        <v>44800</v>
      </c>
      <c r="F5" s="60">
        <v>44800</v>
      </c>
      <c r="G5" s="61">
        <v>1</v>
      </c>
      <c r="H5" s="62">
        <v>64</v>
      </c>
      <c r="I5" s="63">
        <v>69.760000000000005</v>
      </c>
      <c r="J5" s="83"/>
      <c r="K5" s="72"/>
      <c r="L5" s="53"/>
      <c r="M5" s="75"/>
      <c r="N5" s="78"/>
      <c r="O5" s="38"/>
    </row>
    <row r="6" spans="1:16" s="38" customFormat="1" ht="15" customHeight="1" x14ac:dyDescent="0.35">
      <c r="A6" s="57">
        <v>44805</v>
      </c>
      <c r="B6" s="58" t="s">
        <v>48</v>
      </c>
      <c r="C6" s="59">
        <v>3503</v>
      </c>
      <c r="D6" s="59" t="s">
        <v>173</v>
      </c>
      <c r="E6" s="60">
        <v>44800</v>
      </c>
      <c r="F6" s="60">
        <v>44800</v>
      </c>
      <c r="G6" s="61">
        <v>1</v>
      </c>
      <c r="H6" s="62">
        <v>12</v>
      </c>
      <c r="I6" s="63">
        <v>13.080000000000002</v>
      </c>
      <c r="J6" s="83"/>
      <c r="K6" s="72"/>
      <c r="L6" s="53"/>
      <c r="M6" s="75"/>
      <c r="N6" s="78"/>
    </row>
    <row r="7" spans="1:16" s="38" customFormat="1" ht="15" customHeight="1" x14ac:dyDescent="0.35">
      <c r="A7" s="57">
        <v>44803</v>
      </c>
      <c r="B7" s="58" t="s">
        <v>78</v>
      </c>
      <c r="C7" s="59">
        <v>3730</v>
      </c>
      <c r="D7" s="59" t="s">
        <v>174</v>
      </c>
      <c r="E7" s="60">
        <v>44797</v>
      </c>
      <c r="F7" s="60">
        <v>44800</v>
      </c>
      <c r="G7" s="61">
        <v>4</v>
      </c>
      <c r="H7" s="62">
        <v>70</v>
      </c>
      <c r="I7" s="63">
        <v>305.20000000000005</v>
      </c>
      <c r="J7" s="83"/>
      <c r="K7" s="72"/>
      <c r="L7" s="53"/>
      <c r="M7" s="75"/>
      <c r="N7" s="78"/>
    </row>
    <row r="8" spans="1:16" s="38" customFormat="1" ht="15" customHeight="1" x14ac:dyDescent="0.35">
      <c r="A8" s="57">
        <v>44803</v>
      </c>
      <c r="B8" s="58" t="s">
        <v>55</v>
      </c>
      <c r="C8" s="59">
        <v>3752</v>
      </c>
      <c r="D8" s="59" t="s">
        <v>173</v>
      </c>
      <c r="E8" s="60">
        <v>44800</v>
      </c>
      <c r="F8" s="60">
        <v>44800</v>
      </c>
      <c r="G8" s="61">
        <v>1</v>
      </c>
      <c r="H8" s="62">
        <v>20</v>
      </c>
      <c r="I8" s="63">
        <v>21.8</v>
      </c>
      <c r="J8" s="83"/>
      <c r="K8" s="72"/>
      <c r="L8" s="53"/>
      <c r="M8" s="75"/>
      <c r="N8" s="78"/>
    </row>
    <row r="9" spans="1:16" s="38" customFormat="1" ht="15" customHeight="1" x14ac:dyDescent="0.35">
      <c r="A9" s="57">
        <v>44803</v>
      </c>
      <c r="B9" s="58" t="s">
        <v>200</v>
      </c>
      <c r="C9" s="59">
        <v>3798</v>
      </c>
      <c r="D9" s="59" t="s">
        <v>174</v>
      </c>
      <c r="E9" s="60">
        <v>44798</v>
      </c>
      <c r="F9" s="60">
        <v>44800</v>
      </c>
      <c r="G9" s="61">
        <v>3</v>
      </c>
      <c r="H9" s="62">
        <v>20</v>
      </c>
      <c r="I9" s="63">
        <v>65.400000000000006</v>
      </c>
      <c r="J9" s="83"/>
      <c r="K9" s="72"/>
      <c r="L9" s="53"/>
      <c r="M9" s="75"/>
      <c r="N9" s="78"/>
    </row>
    <row r="10" spans="1:16" ht="15" customHeight="1" x14ac:dyDescent="0.35">
      <c r="A10" s="57">
        <v>44803</v>
      </c>
      <c r="B10" s="58" t="s">
        <v>62</v>
      </c>
      <c r="C10" s="59">
        <v>3442</v>
      </c>
      <c r="D10" s="59" t="s">
        <v>174</v>
      </c>
      <c r="E10" s="60">
        <v>44800</v>
      </c>
      <c r="F10" s="60">
        <v>44800</v>
      </c>
      <c r="G10" s="61">
        <v>1</v>
      </c>
      <c r="H10" s="62">
        <v>20</v>
      </c>
      <c r="I10" s="63">
        <v>21.8</v>
      </c>
      <c r="J10" s="83"/>
      <c r="K10" s="72"/>
      <c r="L10" s="53"/>
      <c r="M10" s="75"/>
      <c r="N10" s="78"/>
      <c r="O10" s="38"/>
    </row>
    <row r="11" spans="1:16" ht="15" customHeight="1" x14ac:dyDescent="0.35">
      <c r="A11" s="57">
        <v>44797</v>
      </c>
      <c r="B11" s="58" t="s">
        <v>201</v>
      </c>
      <c r="C11" s="59">
        <v>3788</v>
      </c>
      <c r="D11" s="59" t="s">
        <v>176</v>
      </c>
      <c r="E11" s="60">
        <v>44786</v>
      </c>
      <c r="F11" s="60">
        <v>44786</v>
      </c>
      <c r="G11" s="61">
        <v>1</v>
      </c>
      <c r="H11" s="62">
        <v>24</v>
      </c>
      <c r="I11" s="63">
        <v>26.160000000000004</v>
      </c>
      <c r="J11" s="83"/>
      <c r="K11" s="72"/>
      <c r="L11" s="53"/>
      <c r="M11" s="75"/>
      <c r="N11" s="78"/>
      <c r="O11" s="38"/>
    </row>
    <row r="12" spans="1:16" ht="15" customHeight="1" x14ac:dyDescent="0.35">
      <c r="A12" s="57">
        <v>44797</v>
      </c>
      <c r="B12" s="58" t="s">
        <v>84</v>
      </c>
      <c r="C12" s="59">
        <v>3700</v>
      </c>
      <c r="D12" s="59" t="s">
        <v>176</v>
      </c>
      <c r="E12" s="60">
        <v>44786</v>
      </c>
      <c r="F12" s="60">
        <v>44786</v>
      </c>
      <c r="G12" s="61">
        <v>1</v>
      </c>
      <c r="H12" s="62">
        <v>16</v>
      </c>
      <c r="I12" s="63">
        <v>17.440000000000001</v>
      </c>
      <c r="J12" s="83"/>
      <c r="K12" s="72"/>
      <c r="L12" s="53"/>
      <c r="M12" s="75"/>
      <c r="N12" s="78"/>
      <c r="O12" s="38"/>
    </row>
    <row r="13" spans="1:16" s="38" customFormat="1" ht="15" customHeight="1" x14ac:dyDescent="0.35">
      <c r="A13" s="57">
        <v>44797</v>
      </c>
      <c r="B13" s="58" t="s">
        <v>84</v>
      </c>
      <c r="C13" s="59">
        <v>3700</v>
      </c>
      <c r="D13" s="59" t="s">
        <v>176</v>
      </c>
      <c r="E13" s="60">
        <v>44793</v>
      </c>
      <c r="F13" s="60">
        <v>44793</v>
      </c>
      <c r="G13" s="61">
        <v>1</v>
      </c>
      <c r="H13" s="62">
        <v>16</v>
      </c>
      <c r="I13" s="63">
        <v>17.440000000000001</v>
      </c>
      <c r="J13" s="83"/>
      <c r="K13" s="72"/>
      <c r="L13" s="53"/>
      <c r="M13" s="75"/>
      <c r="N13" s="78"/>
    </row>
    <row r="14" spans="1:16" ht="15" customHeight="1" x14ac:dyDescent="0.35">
      <c r="A14" s="57">
        <v>44797</v>
      </c>
      <c r="B14" s="58" t="s">
        <v>201</v>
      </c>
      <c r="C14" s="59">
        <v>3788</v>
      </c>
      <c r="D14" s="59" t="s">
        <v>176</v>
      </c>
      <c r="E14" s="60">
        <v>44765</v>
      </c>
      <c r="F14" s="60">
        <v>44765</v>
      </c>
      <c r="G14" s="61">
        <v>1</v>
      </c>
      <c r="H14" s="62">
        <v>24</v>
      </c>
      <c r="I14" s="63">
        <v>26.160000000000004</v>
      </c>
      <c r="J14" s="83"/>
      <c r="K14" s="72"/>
      <c r="L14" s="53"/>
      <c r="M14" s="75"/>
      <c r="N14" s="78"/>
      <c r="O14" s="38"/>
    </row>
    <row r="15" spans="1:16" ht="15" customHeight="1" x14ac:dyDescent="0.35">
      <c r="A15" s="57">
        <v>44797</v>
      </c>
      <c r="B15" s="58" t="s">
        <v>201</v>
      </c>
      <c r="C15" s="59">
        <v>3788</v>
      </c>
      <c r="D15" s="59" t="s">
        <v>176</v>
      </c>
      <c r="E15" s="60">
        <v>44779</v>
      </c>
      <c r="F15" s="60">
        <v>44779</v>
      </c>
      <c r="G15" s="61">
        <v>1</v>
      </c>
      <c r="H15" s="62">
        <v>24</v>
      </c>
      <c r="I15" s="63">
        <v>26.160000000000004</v>
      </c>
      <c r="J15" s="83"/>
      <c r="K15" s="72"/>
      <c r="L15" s="53"/>
      <c r="M15" s="75"/>
      <c r="N15" s="78"/>
      <c r="O15" s="38"/>
    </row>
    <row r="16" spans="1:16" ht="15" customHeight="1" x14ac:dyDescent="0.35">
      <c r="A16" s="57">
        <v>44797</v>
      </c>
      <c r="B16" s="58" t="s">
        <v>201</v>
      </c>
      <c r="C16" s="59">
        <v>3788</v>
      </c>
      <c r="D16" s="59" t="s">
        <v>176</v>
      </c>
      <c r="E16" s="60">
        <v>44793</v>
      </c>
      <c r="F16" s="60">
        <v>44793</v>
      </c>
      <c r="G16" s="61">
        <v>1</v>
      </c>
      <c r="H16" s="62">
        <v>24</v>
      </c>
      <c r="I16" s="63">
        <v>26.160000000000004</v>
      </c>
      <c r="J16" s="83"/>
      <c r="K16" s="72"/>
      <c r="L16" s="53"/>
      <c r="M16" s="75"/>
      <c r="N16" s="78"/>
      <c r="O16" s="38"/>
    </row>
    <row r="17" spans="1:15" ht="15" customHeight="1" x14ac:dyDescent="0.35">
      <c r="A17" s="57">
        <v>44797</v>
      </c>
      <c r="B17" s="58" t="s">
        <v>84</v>
      </c>
      <c r="C17" s="59">
        <v>3700</v>
      </c>
      <c r="D17" s="59" t="s">
        <v>176</v>
      </c>
      <c r="E17" s="60">
        <v>44779</v>
      </c>
      <c r="F17" s="60">
        <v>44779</v>
      </c>
      <c r="G17" s="61">
        <v>1</v>
      </c>
      <c r="H17" s="62">
        <v>16</v>
      </c>
      <c r="I17" s="63">
        <v>17.440000000000001</v>
      </c>
      <c r="J17" s="83"/>
      <c r="K17" s="72"/>
      <c r="L17" s="53"/>
      <c r="M17" s="75"/>
      <c r="N17" s="78"/>
      <c r="O17" s="38"/>
    </row>
    <row r="18" spans="1:15" ht="15" customHeight="1" x14ac:dyDescent="0.35">
      <c r="A18" s="57">
        <v>44797</v>
      </c>
      <c r="B18" s="58" t="s">
        <v>85</v>
      </c>
      <c r="C18" s="59">
        <v>3157</v>
      </c>
      <c r="D18" s="59" t="s">
        <v>176</v>
      </c>
      <c r="E18" s="60">
        <v>44779</v>
      </c>
      <c r="F18" s="60">
        <v>44779</v>
      </c>
      <c r="G18" s="61">
        <v>1</v>
      </c>
      <c r="H18" s="62">
        <v>22</v>
      </c>
      <c r="I18" s="63">
        <v>23.98</v>
      </c>
      <c r="J18" s="83"/>
      <c r="K18" s="72"/>
      <c r="L18" s="53"/>
      <c r="M18" s="75"/>
      <c r="N18" s="78"/>
      <c r="O18" s="38"/>
    </row>
    <row r="19" spans="1:15" ht="15" customHeight="1" x14ac:dyDescent="0.35">
      <c r="A19" s="57">
        <v>44797</v>
      </c>
      <c r="B19" s="58" t="s">
        <v>85</v>
      </c>
      <c r="C19" s="59">
        <v>3157</v>
      </c>
      <c r="D19" s="59" t="s">
        <v>176</v>
      </c>
      <c r="E19" s="60">
        <v>44786</v>
      </c>
      <c r="F19" s="60">
        <v>44786</v>
      </c>
      <c r="G19" s="61">
        <v>1</v>
      </c>
      <c r="H19" s="62">
        <v>22</v>
      </c>
      <c r="I19" s="63">
        <v>23.98</v>
      </c>
      <c r="J19" s="83"/>
      <c r="K19" s="72"/>
      <c r="L19" s="53"/>
      <c r="M19" s="75"/>
      <c r="N19" s="78"/>
      <c r="O19" s="38"/>
    </row>
    <row r="20" spans="1:15" ht="15" customHeight="1" x14ac:dyDescent="0.35">
      <c r="A20" s="57">
        <v>44797</v>
      </c>
      <c r="B20" s="58" t="s">
        <v>85</v>
      </c>
      <c r="C20" s="59">
        <v>3157</v>
      </c>
      <c r="D20" s="59" t="s">
        <v>176</v>
      </c>
      <c r="E20" s="60">
        <v>44793</v>
      </c>
      <c r="F20" s="60">
        <v>44793</v>
      </c>
      <c r="G20" s="61">
        <v>1</v>
      </c>
      <c r="H20" s="62">
        <v>22</v>
      </c>
      <c r="I20" s="63">
        <v>23.98</v>
      </c>
      <c r="J20" s="83"/>
      <c r="K20" s="72"/>
      <c r="L20" s="53"/>
      <c r="M20" s="75"/>
      <c r="N20" s="78"/>
      <c r="O20" s="38"/>
    </row>
    <row r="21" spans="1:15" ht="15" customHeight="1" x14ac:dyDescent="0.35">
      <c r="A21" s="57">
        <v>44797</v>
      </c>
      <c r="B21" s="58" t="s">
        <v>202</v>
      </c>
      <c r="C21" s="59">
        <v>3795</v>
      </c>
      <c r="D21" s="59" t="s">
        <v>176</v>
      </c>
      <c r="E21" s="60">
        <v>44765</v>
      </c>
      <c r="F21" s="60">
        <v>44765</v>
      </c>
      <c r="G21" s="61">
        <v>1</v>
      </c>
      <c r="H21" s="62">
        <v>20</v>
      </c>
      <c r="I21" s="63">
        <v>21.8</v>
      </c>
      <c r="J21" s="83"/>
      <c r="K21" s="72"/>
      <c r="L21" s="53"/>
      <c r="M21" s="75"/>
      <c r="N21" s="78"/>
      <c r="O21" s="38"/>
    </row>
    <row r="22" spans="1:15" ht="15" customHeight="1" x14ac:dyDescent="0.35">
      <c r="A22" s="57">
        <v>44797</v>
      </c>
      <c r="B22" s="58" t="s">
        <v>202</v>
      </c>
      <c r="C22" s="59">
        <v>3795</v>
      </c>
      <c r="D22" s="59" t="s">
        <v>176</v>
      </c>
      <c r="E22" s="60">
        <v>44779</v>
      </c>
      <c r="F22" s="60">
        <v>44779</v>
      </c>
      <c r="G22" s="61">
        <v>1</v>
      </c>
      <c r="H22" s="62">
        <v>20</v>
      </c>
      <c r="I22" s="63">
        <v>21.8</v>
      </c>
      <c r="J22" s="83"/>
      <c r="K22" s="72"/>
      <c r="L22" s="53"/>
      <c r="M22" s="75"/>
      <c r="N22" s="78"/>
      <c r="O22" s="38"/>
    </row>
    <row r="23" spans="1:15" ht="15" customHeight="1" x14ac:dyDescent="0.35">
      <c r="A23" s="57">
        <v>44797</v>
      </c>
      <c r="B23" s="58" t="s">
        <v>202</v>
      </c>
      <c r="C23" s="59">
        <v>3795</v>
      </c>
      <c r="D23" s="59" t="s">
        <v>176</v>
      </c>
      <c r="E23" s="60">
        <v>44786</v>
      </c>
      <c r="F23" s="60">
        <v>44786</v>
      </c>
      <c r="G23" s="61">
        <v>1</v>
      </c>
      <c r="H23" s="62">
        <v>20</v>
      </c>
      <c r="I23" s="63">
        <v>21.8</v>
      </c>
      <c r="J23" s="83"/>
      <c r="K23" s="72"/>
      <c r="L23" s="53"/>
      <c r="M23" s="75"/>
      <c r="N23" s="78"/>
      <c r="O23" s="38"/>
    </row>
    <row r="24" spans="1:15" ht="15" customHeight="1" x14ac:dyDescent="0.35">
      <c r="A24" s="57">
        <v>44797</v>
      </c>
      <c r="B24" s="58" t="s">
        <v>202</v>
      </c>
      <c r="C24" s="59">
        <v>3795</v>
      </c>
      <c r="D24" s="59" t="s">
        <v>176</v>
      </c>
      <c r="E24" s="60">
        <v>44793</v>
      </c>
      <c r="F24" s="60">
        <v>44793</v>
      </c>
      <c r="G24" s="61">
        <v>1</v>
      </c>
      <c r="H24" s="62">
        <v>20</v>
      </c>
      <c r="I24" s="63">
        <v>21.8</v>
      </c>
      <c r="J24" s="83"/>
      <c r="K24" s="72"/>
      <c r="L24" s="53"/>
      <c r="M24" s="75"/>
      <c r="N24" s="78"/>
      <c r="O24" s="38"/>
    </row>
    <row r="25" spans="1:15" ht="15" customHeight="1" x14ac:dyDescent="0.35">
      <c r="A25" s="57">
        <v>44797</v>
      </c>
      <c r="B25" s="58" t="s">
        <v>143</v>
      </c>
      <c r="C25" s="59">
        <v>3586</v>
      </c>
      <c r="D25" s="59" t="s">
        <v>188</v>
      </c>
      <c r="E25" s="60">
        <v>44786</v>
      </c>
      <c r="F25" s="60">
        <v>44786</v>
      </c>
      <c r="G25" s="61">
        <v>1</v>
      </c>
      <c r="H25" s="62">
        <v>46</v>
      </c>
      <c r="I25" s="63">
        <v>50.14</v>
      </c>
      <c r="J25" s="83"/>
      <c r="K25" s="72"/>
      <c r="L25" s="53"/>
      <c r="M25" s="75"/>
      <c r="N25" s="78"/>
      <c r="O25" s="38"/>
    </row>
    <row r="26" spans="1:15" ht="15" customHeight="1" x14ac:dyDescent="0.35">
      <c r="A26" s="57">
        <v>44797</v>
      </c>
      <c r="B26" s="58" t="s">
        <v>143</v>
      </c>
      <c r="C26" s="59">
        <v>3586</v>
      </c>
      <c r="D26" s="59" t="s">
        <v>188</v>
      </c>
      <c r="E26" s="60">
        <v>44793</v>
      </c>
      <c r="F26" s="60">
        <v>44793</v>
      </c>
      <c r="G26" s="61">
        <v>1</v>
      </c>
      <c r="H26" s="62">
        <v>46</v>
      </c>
      <c r="I26" s="63">
        <v>50.14</v>
      </c>
      <c r="J26" s="83"/>
      <c r="K26" s="72"/>
      <c r="L26" s="53"/>
      <c r="M26" s="75"/>
      <c r="N26" s="78"/>
      <c r="O26" s="38"/>
    </row>
    <row r="27" spans="1:15" ht="15" customHeight="1" x14ac:dyDescent="0.35">
      <c r="A27" s="57">
        <v>44797</v>
      </c>
      <c r="B27" s="58" t="s">
        <v>82</v>
      </c>
      <c r="C27" s="59">
        <v>2317</v>
      </c>
      <c r="D27" s="59" t="s">
        <v>176</v>
      </c>
      <c r="E27" s="60">
        <v>44781</v>
      </c>
      <c r="F27" s="60">
        <v>44785</v>
      </c>
      <c r="G27" s="61">
        <v>5</v>
      </c>
      <c r="H27" s="62">
        <v>8</v>
      </c>
      <c r="I27" s="63">
        <v>43.6</v>
      </c>
      <c r="J27" s="83"/>
      <c r="K27" s="72"/>
      <c r="L27" s="53"/>
      <c r="M27" s="75"/>
      <c r="N27" s="78"/>
      <c r="O27" s="38"/>
    </row>
    <row r="28" spans="1:15" ht="15" customHeight="1" x14ac:dyDescent="0.35">
      <c r="A28" s="57">
        <v>44797</v>
      </c>
      <c r="B28" s="58" t="s">
        <v>82</v>
      </c>
      <c r="C28" s="59">
        <v>2317</v>
      </c>
      <c r="D28" s="59" t="s">
        <v>176</v>
      </c>
      <c r="E28" s="60">
        <v>44788</v>
      </c>
      <c r="F28" s="60">
        <v>44791</v>
      </c>
      <c r="G28" s="61">
        <v>4</v>
      </c>
      <c r="H28" s="62">
        <v>8</v>
      </c>
      <c r="I28" s="63">
        <v>34.880000000000003</v>
      </c>
      <c r="J28" s="83"/>
      <c r="K28" s="72"/>
      <c r="L28" s="53"/>
      <c r="M28" s="75"/>
      <c r="N28" s="78"/>
      <c r="O28" s="38"/>
    </row>
    <row r="29" spans="1:15" ht="15" customHeight="1" x14ac:dyDescent="0.35">
      <c r="A29" s="57">
        <v>44797</v>
      </c>
      <c r="B29" s="58" t="s">
        <v>82</v>
      </c>
      <c r="C29" s="59">
        <v>2317</v>
      </c>
      <c r="D29" s="59" t="s">
        <v>176</v>
      </c>
      <c r="E29" s="60">
        <v>44792</v>
      </c>
      <c r="F29" s="60">
        <v>44792</v>
      </c>
      <c r="G29" s="61">
        <v>1</v>
      </c>
      <c r="H29" s="62">
        <v>60</v>
      </c>
      <c r="I29" s="63">
        <v>65.400000000000006</v>
      </c>
      <c r="J29" s="83"/>
      <c r="K29" s="72"/>
      <c r="L29" s="53"/>
      <c r="M29" s="75"/>
      <c r="N29" s="78"/>
      <c r="O29" s="38"/>
    </row>
    <row r="30" spans="1:15" ht="15" customHeight="1" x14ac:dyDescent="0.35">
      <c r="A30" s="57">
        <v>44797</v>
      </c>
      <c r="B30" s="58" t="s">
        <v>82</v>
      </c>
      <c r="C30" s="59">
        <v>2317</v>
      </c>
      <c r="D30" s="59" t="s">
        <v>176</v>
      </c>
      <c r="E30" s="60">
        <v>44795</v>
      </c>
      <c r="F30" s="60">
        <v>44799</v>
      </c>
      <c r="G30" s="61">
        <v>5</v>
      </c>
      <c r="H30" s="62">
        <v>8</v>
      </c>
      <c r="I30" s="63">
        <v>43.6</v>
      </c>
      <c r="J30" s="83"/>
      <c r="K30" s="72"/>
      <c r="L30" s="53"/>
      <c r="M30" s="75"/>
      <c r="N30" s="78"/>
      <c r="O30" s="38"/>
    </row>
    <row r="31" spans="1:15" ht="15" customHeight="1" x14ac:dyDescent="0.35">
      <c r="A31" s="57">
        <v>44797</v>
      </c>
      <c r="B31" s="58" t="s">
        <v>68</v>
      </c>
      <c r="C31" s="59">
        <v>3689</v>
      </c>
      <c r="D31" s="59" t="s">
        <v>174</v>
      </c>
      <c r="E31" s="60">
        <v>44774</v>
      </c>
      <c r="F31" s="60">
        <v>44778</v>
      </c>
      <c r="G31" s="61">
        <v>5</v>
      </c>
      <c r="H31" s="62">
        <v>70</v>
      </c>
      <c r="I31" s="63">
        <v>381.5</v>
      </c>
      <c r="J31" s="83"/>
      <c r="K31" s="72"/>
      <c r="L31" s="53"/>
      <c r="M31" s="75"/>
      <c r="N31" s="78"/>
      <c r="O31" s="38"/>
    </row>
    <row r="32" spans="1:15" ht="15" customHeight="1" x14ac:dyDescent="0.35">
      <c r="A32" s="57">
        <v>44797</v>
      </c>
      <c r="B32" s="58" t="s">
        <v>68</v>
      </c>
      <c r="C32" s="59">
        <v>3689</v>
      </c>
      <c r="D32" s="59" t="s">
        <v>174</v>
      </c>
      <c r="E32" s="60">
        <v>44781</v>
      </c>
      <c r="F32" s="60">
        <v>44785</v>
      </c>
      <c r="G32" s="61">
        <v>5</v>
      </c>
      <c r="H32" s="62">
        <v>85</v>
      </c>
      <c r="I32" s="63">
        <v>463.25000000000006</v>
      </c>
      <c r="J32" s="83"/>
      <c r="K32" s="72"/>
      <c r="L32" s="53"/>
      <c r="M32" s="75"/>
      <c r="N32" s="78"/>
      <c r="O32" s="38"/>
    </row>
    <row r="33" spans="1:15" ht="15" customHeight="1" x14ac:dyDescent="0.35">
      <c r="A33" s="57">
        <v>44797</v>
      </c>
      <c r="B33" s="58" t="s">
        <v>68</v>
      </c>
      <c r="C33" s="59">
        <v>3689</v>
      </c>
      <c r="D33" s="59" t="s">
        <v>174</v>
      </c>
      <c r="E33" s="60">
        <v>44788</v>
      </c>
      <c r="F33" s="60">
        <v>44791</v>
      </c>
      <c r="G33" s="61">
        <v>4</v>
      </c>
      <c r="H33" s="62">
        <v>85</v>
      </c>
      <c r="I33" s="63">
        <v>370.6</v>
      </c>
      <c r="J33" s="83"/>
      <c r="K33" s="72"/>
      <c r="L33" s="53"/>
      <c r="M33" s="75"/>
      <c r="N33" s="78"/>
      <c r="O33" s="38"/>
    </row>
    <row r="34" spans="1:15" ht="15" customHeight="1" x14ac:dyDescent="0.35">
      <c r="A34" s="57">
        <v>44797</v>
      </c>
      <c r="B34" s="58" t="s">
        <v>68</v>
      </c>
      <c r="C34" s="59">
        <v>3689</v>
      </c>
      <c r="D34" s="59" t="s">
        <v>174</v>
      </c>
      <c r="E34" s="60">
        <v>44795</v>
      </c>
      <c r="F34" s="60">
        <v>44799</v>
      </c>
      <c r="G34" s="61">
        <v>5</v>
      </c>
      <c r="H34" s="62">
        <v>85</v>
      </c>
      <c r="I34" s="63">
        <v>463.25000000000006</v>
      </c>
      <c r="J34" s="83"/>
      <c r="K34" s="72"/>
      <c r="L34" s="53"/>
      <c r="M34" s="75"/>
      <c r="N34" s="78"/>
      <c r="O34" s="38"/>
    </row>
    <row r="35" spans="1:15" ht="15" customHeight="1" x14ac:dyDescent="0.35">
      <c r="A35" s="57">
        <v>44797</v>
      </c>
      <c r="B35" s="58" t="s">
        <v>204</v>
      </c>
      <c r="C35" s="59">
        <v>3794</v>
      </c>
      <c r="D35" s="59" t="s">
        <v>188</v>
      </c>
      <c r="E35" s="60">
        <v>44779</v>
      </c>
      <c r="F35" s="60">
        <v>44779</v>
      </c>
      <c r="G35" s="61">
        <v>1</v>
      </c>
      <c r="H35" s="62">
        <v>16</v>
      </c>
      <c r="I35" s="63">
        <v>17.440000000000001</v>
      </c>
      <c r="J35" s="83"/>
      <c r="K35" s="72"/>
      <c r="L35" s="53"/>
      <c r="M35" s="75"/>
      <c r="N35" s="78"/>
      <c r="O35" s="38"/>
    </row>
    <row r="36" spans="1:15" ht="15" customHeight="1" x14ac:dyDescent="0.35">
      <c r="A36" s="57">
        <v>44797</v>
      </c>
      <c r="B36" s="58" t="s">
        <v>204</v>
      </c>
      <c r="C36" s="59">
        <v>3794</v>
      </c>
      <c r="D36" s="59" t="s">
        <v>188</v>
      </c>
      <c r="E36" s="60">
        <v>44786</v>
      </c>
      <c r="F36" s="60">
        <v>44786</v>
      </c>
      <c r="G36" s="61">
        <v>1</v>
      </c>
      <c r="H36" s="62">
        <v>16</v>
      </c>
      <c r="I36" s="63">
        <v>17.440000000000001</v>
      </c>
      <c r="J36" s="83"/>
      <c r="K36" s="72"/>
      <c r="L36" s="53"/>
      <c r="M36" s="75"/>
      <c r="N36" s="78"/>
      <c r="O36" s="38"/>
    </row>
    <row r="37" spans="1:15" ht="15" customHeight="1" x14ac:dyDescent="0.35">
      <c r="A37" s="57">
        <v>44797</v>
      </c>
      <c r="B37" s="58" t="s">
        <v>203</v>
      </c>
      <c r="C37" s="59">
        <v>3787</v>
      </c>
      <c r="D37" s="59" t="s">
        <v>188</v>
      </c>
      <c r="E37" s="60">
        <v>44779</v>
      </c>
      <c r="F37" s="60">
        <v>44779</v>
      </c>
      <c r="G37" s="61">
        <v>1</v>
      </c>
      <c r="H37" s="62">
        <v>46</v>
      </c>
      <c r="I37" s="63">
        <v>50.14</v>
      </c>
      <c r="J37" s="83"/>
      <c r="K37" s="72"/>
      <c r="L37" s="53"/>
      <c r="M37" s="75"/>
      <c r="N37" s="78"/>
      <c r="O37" s="38"/>
    </row>
    <row r="38" spans="1:15" ht="15" customHeight="1" x14ac:dyDescent="0.35">
      <c r="A38" s="57">
        <v>44797</v>
      </c>
      <c r="B38" s="58" t="s">
        <v>203</v>
      </c>
      <c r="C38" s="59">
        <v>3787</v>
      </c>
      <c r="D38" s="59" t="s">
        <v>188</v>
      </c>
      <c r="E38" s="60">
        <v>44786</v>
      </c>
      <c r="F38" s="60">
        <v>44786</v>
      </c>
      <c r="G38" s="61">
        <v>1</v>
      </c>
      <c r="H38" s="62">
        <v>46</v>
      </c>
      <c r="I38" s="63">
        <v>50.14</v>
      </c>
      <c r="J38" s="83"/>
      <c r="K38" s="72"/>
      <c r="L38" s="53"/>
      <c r="M38" s="75"/>
      <c r="N38" s="78"/>
      <c r="O38" s="38"/>
    </row>
    <row r="39" spans="1:15" ht="15" customHeight="1" x14ac:dyDescent="0.35">
      <c r="A39" s="57">
        <v>44797</v>
      </c>
      <c r="B39" s="58" t="s">
        <v>143</v>
      </c>
      <c r="C39" s="59">
        <v>3586</v>
      </c>
      <c r="D39" s="59" t="s">
        <v>188</v>
      </c>
      <c r="E39" s="60">
        <v>44779</v>
      </c>
      <c r="F39" s="60">
        <v>44779</v>
      </c>
      <c r="G39" s="61">
        <v>1</v>
      </c>
      <c r="H39" s="62">
        <v>46</v>
      </c>
      <c r="I39" s="63">
        <v>50.14</v>
      </c>
      <c r="J39" s="83"/>
      <c r="K39" s="72"/>
      <c r="L39" s="53"/>
      <c r="M39" s="75"/>
      <c r="N39" s="78"/>
      <c r="O39" s="38"/>
    </row>
    <row r="40" spans="1:15" ht="15" customHeight="1" x14ac:dyDescent="0.35">
      <c r="A40" s="57">
        <v>44797</v>
      </c>
      <c r="B40" s="58" t="s">
        <v>143</v>
      </c>
      <c r="C40" s="59">
        <v>3586</v>
      </c>
      <c r="D40" s="59" t="s">
        <v>188</v>
      </c>
      <c r="E40" s="60">
        <v>44786</v>
      </c>
      <c r="F40" s="60">
        <v>44786</v>
      </c>
      <c r="G40" s="61">
        <v>1</v>
      </c>
      <c r="H40" s="62">
        <v>46</v>
      </c>
      <c r="I40" s="63">
        <v>50.14</v>
      </c>
      <c r="J40" s="83"/>
      <c r="K40" s="72"/>
      <c r="L40" s="53"/>
      <c r="M40" s="75"/>
      <c r="N40" s="78"/>
      <c r="O40" s="38"/>
    </row>
    <row r="41" spans="1:15" ht="15" customHeight="1" x14ac:dyDescent="0.35">
      <c r="A41" s="57">
        <v>44796</v>
      </c>
      <c r="B41" s="58" t="s">
        <v>197</v>
      </c>
      <c r="C41" s="59">
        <v>3774</v>
      </c>
      <c r="D41" s="59" t="s">
        <v>196</v>
      </c>
      <c r="E41" s="60">
        <v>44765</v>
      </c>
      <c r="F41" s="60">
        <v>44765</v>
      </c>
      <c r="G41" s="61">
        <v>1</v>
      </c>
      <c r="H41" s="62">
        <v>8</v>
      </c>
      <c r="I41" s="63">
        <v>10</v>
      </c>
      <c r="J41" s="83"/>
      <c r="K41" s="72"/>
      <c r="L41" s="53"/>
      <c r="M41" s="75"/>
      <c r="N41" s="78"/>
      <c r="O41" s="38"/>
    </row>
    <row r="42" spans="1:15" ht="15" customHeight="1" x14ac:dyDescent="0.35">
      <c r="A42" s="57">
        <v>44796</v>
      </c>
      <c r="B42" s="58" t="s">
        <v>198</v>
      </c>
      <c r="C42" s="59">
        <v>3772</v>
      </c>
      <c r="D42" s="59" t="s">
        <v>196</v>
      </c>
      <c r="E42" s="60">
        <v>44765</v>
      </c>
      <c r="F42" s="60">
        <v>44765</v>
      </c>
      <c r="G42" s="61">
        <v>1</v>
      </c>
      <c r="H42" s="62">
        <v>11</v>
      </c>
      <c r="I42" s="63">
        <v>13.75</v>
      </c>
      <c r="J42" s="83"/>
      <c r="K42" s="72"/>
      <c r="L42" s="53"/>
      <c r="M42" s="75"/>
      <c r="N42" s="78"/>
      <c r="O42" s="38"/>
    </row>
    <row r="43" spans="1:15" ht="15" customHeight="1" x14ac:dyDescent="0.35">
      <c r="A43" s="57">
        <v>44796</v>
      </c>
      <c r="B43" s="58" t="s">
        <v>118</v>
      </c>
      <c r="C43" s="59">
        <v>3047</v>
      </c>
      <c r="D43" s="59" t="s">
        <v>183</v>
      </c>
      <c r="E43" s="60">
        <v>44765</v>
      </c>
      <c r="F43" s="60">
        <v>44765</v>
      </c>
      <c r="G43" s="61">
        <v>1</v>
      </c>
      <c r="H43" s="62">
        <v>11</v>
      </c>
      <c r="I43" s="63">
        <v>13.75</v>
      </c>
      <c r="J43" s="83"/>
      <c r="K43" s="72"/>
      <c r="L43" s="53"/>
      <c r="M43" s="75"/>
      <c r="N43" s="78"/>
      <c r="O43" s="38"/>
    </row>
    <row r="44" spans="1:15" ht="15" customHeight="1" x14ac:dyDescent="0.35">
      <c r="A44" s="57">
        <v>44796</v>
      </c>
      <c r="B44" s="58" t="s">
        <v>119</v>
      </c>
      <c r="C44" s="59">
        <v>3733</v>
      </c>
      <c r="D44" s="59" t="s">
        <v>183</v>
      </c>
      <c r="E44" s="60">
        <v>44765</v>
      </c>
      <c r="F44" s="60">
        <v>44765</v>
      </c>
      <c r="G44" s="61">
        <v>1</v>
      </c>
      <c r="H44" s="62">
        <v>44</v>
      </c>
      <c r="I44" s="63">
        <v>55</v>
      </c>
      <c r="J44" s="83"/>
      <c r="K44" s="72"/>
      <c r="L44" s="53"/>
      <c r="M44" s="75"/>
      <c r="N44" s="78"/>
      <c r="O44" s="38"/>
    </row>
    <row r="45" spans="1:15" ht="15" customHeight="1" x14ac:dyDescent="0.35">
      <c r="A45" s="57">
        <v>44796</v>
      </c>
      <c r="B45" s="58" t="s">
        <v>121</v>
      </c>
      <c r="C45" s="59">
        <v>3071</v>
      </c>
      <c r="D45" s="59" t="s">
        <v>183</v>
      </c>
      <c r="E45" s="60">
        <v>44765</v>
      </c>
      <c r="F45" s="60">
        <v>44765</v>
      </c>
      <c r="G45" s="61">
        <v>1</v>
      </c>
      <c r="H45" s="62">
        <v>35</v>
      </c>
      <c r="I45" s="63">
        <v>43.75</v>
      </c>
      <c r="J45" s="83"/>
      <c r="K45" s="72"/>
      <c r="L45" s="53"/>
      <c r="M45" s="75"/>
      <c r="N45" s="78"/>
      <c r="O45" s="38"/>
    </row>
    <row r="46" spans="1:15" ht="15" customHeight="1" x14ac:dyDescent="0.35">
      <c r="A46" s="57">
        <v>44796</v>
      </c>
      <c r="B46" s="58" t="s">
        <v>116</v>
      </c>
      <c r="C46" s="59">
        <v>3547</v>
      </c>
      <c r="D46" s="59" t="s">
        <v>183</v>
      </c>
      <c r="E46" s="60">
        <v>44779</v>
      </c>
      <c r="F46" s="60">
        <v>44779</v>
      </c>
      <c r="G46" s="61">
        <v>1</v>
      </c>
      <c r="H46" s="62">
        <v>38</v>
      </c>
      <c r="I46" s="63">
        <v>47.5</v>
      </c>
      <c r="J46" s="83"/>
      <c r="K46" s="72"/>
      <c r="L46" s="53"/>
      <c r="M46" s="75"/>
      <c r="N46" s="78"/>
      <c r="O46" s="38"/>
    </row>
    <row r="47" spans="1:15" ht="15" customHeight="1" x14ac:dyDescent="0.35">
      <c r="A47" s="57">
        <v>44796</v>
      </c>
      <c r="B47" s="58" t="s">
        <v>120</v>
      </c>
      <c r="C47" s="59">
        <v>1998</v>
      </c>
      <c r="D47" s="59" t="s">
        <v>183</v>
      </c>
      <c r="E47" s="60">
        <v>44779</v>
      </c>
      <c r="F47" s="60">
        <v>44779</v>
      </c>
      <c r="G47" s="61">
        <v>1</v>
      </c>
      <c r="H47" s="62">
        <v>32</v>
      </c>
      <c r="I47" s="63">
        <v>40</v>
      </c>
      <c r="J47" s="83"/>
      <c r="K47" s="72"/>
      <c r="L47" s="53"/>
      <c r="M47" s="75"/>
      <c r="N47" s="78"/>
      <c r="O47" s="38"/>
    </row>
    <row r="48" spans="1:15" ht="15" customHeight="1" x14ac:dyDescent="0.35">
      <c r="A48" s="57">
        <v>44796</v>
      </c>
      <c r="B48" s="58" t="s">
        <v>197</v>
      </c>
      <c r="C48" s="59">
        <v>3774</v>
      </c>
      <c r="D48" s="59" t="s">
        <v>196</v>
      </c>
      <c r="E48" s="60">
        <v>44786</v>
      </c>
      <c r="F48" s="60">
        <v>44786</v>
      </c>
      <c r="G48" s="61">
        <v>1</v>
      </c>
      <c r="H48" s="62">
        <v>8</v>
      </c>
      <c r="I48" s="63">
        <v>10</v>
      </c>
      <c r="J48" s="83"/>
      <c r="K48" s="72"/>
      <c r="L48" s="53"/>
      <c r="M48" s="75"/>
      <c r="N48" s="78"/>
      <c r="O48" s="38"/>
    </row>
    <row r="49" spans="1:15" ht="15" customHeight="1" x14ac:dyDescent="0.35">
      <c r="A49" s="57">
        <v>44796</v>
      </c>
      <c r="B49" s="58" t="s">
        <v>115</v>
      </c>
      <c r="C49" s="59">
        <v>3029</v>
      </c>
      <c r="D49" s="59" t="s">
        <v>183</v>
      </c>
      <c r="E49" s="60">
        <v>44786</v>
      </c>
      <c r="F49" s="60">
        <v>44786</v>
      </c>
      <c r="G49" s="61">
        <v>1</v>
      </c>
      <c r="H49" s="62">
        <v>20</v>
      </c>
      <c r="I49" s="63">
        <v>25</v>
      </c>
      <c r="J49" s="83"/>
      <c r="K49" s="72"/>
      <c r="L49" s="53"/>
      <c r="M49" s="75"/>
      <c r="N49" s="78"/>
      <c r="O49" s="38"/>
    </row>
    <row r="50" spans="1:15" ht="15" customHeight="1" x14ac:dyDescent="0.35">
      <c r="A50" s="57">
        <v>44796</v>
      </c>
      <c r="B50" s="58" t="s">
        <v>116</v>
      </c>
      <c r="C50" s="59">
        <v>3547</v>
      </c>
      <c r="D50" s="59" t="s">
        <v>183</v>
      </c>
      <c r="E50" s="60">
        <v>44786</v>
      </c>
      <c r="F50" s="60">
        <v>44786</v>
      </c>
      <c r="G50" s="61">
        <v>1</v>
      </c>
      <c r="H50" s="62">
        <v>38</v>
      </c>
      <c r="I50" s="63">
        <v>47.5</v>
      </c>
      <c r="J50" s="83"/>
      <c r="K50" s="72"/>
      <c r="L50" s="53"/>
      <c r="M50" s="75"/>
      <c r="N50" s="78"/>
      <c r="O50" s="38"/>
    </row>
    <row r="51" spans="1:15" ht="15" customHeight="1" x14ac:dyDescent="0.35">
      <c r="A51" s="57">
        <v>44796</v>
      </c>
      <c r="B51" s="58" t="s">
        <v>197</v>
      </c>
      <c r="C51" s="59">
        <v>3774</v>
      </c>
      <c r="D51" s="59" t="s">
        <v>196</v>
      </c>
      <c r="E51" s="60">
        <v>44793</v>
      </c>
      <c r="F51" s="60">
        <v>44793</v>
      </c>
      <c r="G51" s="61">
        <v>1</v>
      </c>
      <c r="H51" s="62">
        <v>8</v>
      </c>
      <c r="I51" s="63">
        <v>10</v>
      </c>
      <c r="J51" s="83"/>
      <c r="K51" s="72"/>
      <c r="L51" s="53"/>
      <c r="M51" s="75"/>
      <c r="N51" s="78"/>
      <c r="O51" s="38"/>
    </row>
    <row r="52" spans="1:15" ht="15" customHeight="1" x14ac:dyDescent="0.35">
      <c r="A52" s="57">
        <v>44796</v>
      </c>
      <c r="B52" s="58" t="s">
        <v>115</v>
      </c>
      <c r="C52" s="59">
        <v>3029</v>
      </c>
      <c r="D52" s="59" t="s">
        <v>183</v>
      </c>
      <c r="E52" s="60">
        <v>44793</v>
      </c>
      <c r="F52" s="60">
        <v>44793</v>
      </c>
      <c r="G52" s="61">
        <v>1</v>
      </c>
      <c r="H52" s="62">
        <v>20</v>
      </c>
      <c r="I52" s="63">
        <v>25</v>
      </c>
      <c r="J52" s="83"/>
      <c r="K52" s="72"/>
      <c r="L52" s="53"/>
      <c r="M52" s="75"/>
      <c r="N52" s="78"/>
      <c r="O52" s="38"/>
    </row>
    <row r="53" spans="1:15" ht="15" customHeight="1" x14ac:dyDescent="0.35">
      <c r="A53" s="57">
        <v>44796</v>
      </c>
      <c r="B53" s="58" t="s">
        <v>198</v>
      </c>
      <c r="C53" s="59">
        <v>3772</v>
      </c>
      <c r="D53" s="59" t="s">
        <v>196</v>
      </c>
      <c r="E53" s="60">
        <v>44793</v>
      </c>
      <c r="F53" s="60">
        <v>44793</v>
      </c>
      <c r="G53" s="61">
        <v>1</v>
      </c>
      <c r="H53" s="62">
        <v>11</v>
      </c>
      <c r="I53" s="63">
        <v>13.75</v>
      </c>
      <c r="J53" s="83"/>
      <c r="K53" s="72"/>
      <c r="L53" s="53"/>
      <c r="M53" s="75"/>
      <c r="N53" s="78"/>
      <c r="O53" s="38"/>
    </row>
    <row r="54" spans="1:15" ht="15" customHeight="1" x14ac:dyDescent="0.35">
      <c r="A54" s="57">
        <v>44796</v>
      </c>
      <c r="B54" s="58" t="s">
        <v>118</v>
      </c>
      <c r="C54" s="59">
        <v>3047</v>
      </c>
      <c r="D54" s="59" t="s">
        <v>183</v>
      </c>
      <c r="E54" s="60">
        <v>44793</v>
      </c>
      <c r="F54" s="60">
        <v>44793</v>
      </c>
      <c r="G54" s="61">
        <v>1</v>
      </c>
      <c r="H54" s="62">
        <v>11</v>
      </c>
      <c r="I54" s="63">
        <v>13.75</v>
      </c>
      <c r="J54" s="83"/>
      <c r="K54" s="72"/>
      <c r="L54" s="53"/>
      <c r="M54" s="75"/>
      <c r="N54" s="78"/>
      <c r="O54" s="38"/>
    </row>
    <row r="55" spans="1:15" ht="15" customHeight="1" x14ac:dyDescent="0.35">
      <c r="A55" s="57">
        <v>44796</v>
      </c>
      <c r="B55" s="58" t="s">
        <v>119</v>
      </c>
      <c r="C55" s="59">
        <v>3733</v>
      </c>
      <c r="D55" s="59" t="s">
        <v>183</v>
      </c>
      <c r="E55" s="60">
        <v>44793</v>
      </c>
      <c r="F55" s="60">
        <v>44793</v>
      </c>
      <c r="G55" s="61">
        <v>1</v>
      </c>
      <c r="H55" s="62">
        <v>40</v>
      </c>
      <c r="I55" s="63">
        <v>50</v>
      </c>
      <c r="J55" s="83"/>
      <c r="K55" s="72"/>
      <c r="L55" s="53"/>
      <c r="M55" s="75"/>
      <c r="N55" s="78"/>
      <c r="O55" s="38"/>
    </row>
    <row r="56" spans="1:15" ht="15" customHeight="1" x14ac:dyDescent="0.35">
      <c r="A56" s="57">
        <v>44796</v>
      </c>
      <c r="B56" s="58" t="s">
        <v>62</v>
      </c>
      <c r="C56" s="59">
        <v>3442</v>
      </c>
      <c r="D56" s="59" t="s">
        <v>174</v>
      </c>
      <c r="E56" s="60">
        <v>44765</v>
      </c>
      <c r="F56" s="60">
        <v>44765</v>
      </c>
      <c r="G56" s="61">
        <v>1</v>
      </c>
      <c r="H56" s="62">
        <v>20</v>
      </c>
      <c r="I56" s="63">
        <v>21.8</v>
      </c>
      <c r="J56" s="83"/>
      <c r="K56" s="72"/>
      <c r="L56" s="53"/>
      <c r="M56" s="75"/>
      <c r="N56" s="78"/>
      <c r="O56" s="38"/>
    </row>
    <row r="57" spans="1:15" ht="15" customHeight="1" x14ac:dyDescent="0.35">
      <c r="A57" s="57">
        <v>44796</v>
      </c>
      <c r="B57" s="58" t="s">
        <v>62</v>
      </c>
      <c r="C57" s="59">
        <v>3442</v>
      </c>
      <c r="D57" s="59" t="s">
        <v>174</v>
      </c>
      <c r="E57" s="60">
        <v>44772</v>
      </c>
      <c r="F57" s="60">
        <v>44772</v>
      </c>
      <c r="G57" s="61">
        <v>1</v>
      </c>
      <c r="H57" s="62">
        <v>20</v>
      </c>
      <c r="I57" s="63">
        <v>21.8</v>
      </c>
      <c r="J57" s="83"/>
      <c r="K57" s="72"/>
      <c r="L57" s="53"/>
      <c r="M57" s="75"/>
      <c r="N57" s="78"/>
      <c r="O57" s="38"/>
    </row>
    <row r="58" spans="1:15" ht="15" customHeight="1" x14ac:dyDescent="0.35">
      <c r="A58" s="57">
        <v>44796</v>
      </c>
      <c r="B58" s="58" t="s">
        <v>62</v>
      </c>
      <c r="C58" s="59">
        <v>3442</v>
      </c>
      <c r="D58" s="59" t="s">
        <v>174</v>
      </c>
      <c r="E58" s="60">
        <v>44786</v>
      </c>
      <c r="F58" s="60">
        <v>44786</v>
      </c>
      <c r="G58" s="61">
        <v>1</v>
      </c>
      <c r="H58" s="62">
        <v>20</v>
      </c>
      <c r="I58" s="63">
        <v>21.8</v>
      </c>
      <c r="J58" s="83"/>
      <c r="K58" s="72"/>
      <c r="L58" s="53"/>
      <c r="M58" s="75"/>
      <c r="N58" s="78"/>
      <c r="O58" s="38"/>
    </row>
    <row r="59" spans="1:15" ht="15" customHeight="1" x14ac:dyDescent="0.35">
      <c r="A59" s="57">
        <v>44796</v>
      </c>
      <c r="B59" s="58" t="s">
        <v>62</v>
      </c>
      <c r="C59" s="59">
        <v>3442</v>
      </c>
      <c r="D59" s="59" t="s">
        <v>174</v>
      </c>
      <c r="E59" s="60">
        <v>44793</v>
      </c>
      <c r="F59" s="60">
        <v>44793</v>
      </c>
      <c r="G59" s="61">
        <v>1</v>
      </c>
      <c r="H59" s="62">
        <v>20</v>
      </c>
      <c r="I59" s="63">
        <v>21.8</v>
      </c>
      <c r="J59" s="83"/>
      <c r="K59" s="72"/>
      <c r="L59" s="53"/>
      <c r="M59" s="75"/>
      <c r="N59" s="78"/>
      <c r="O59" s="38"/>
    </row>
    <row r="60" spans="1:15" ht="15" customHeight="1" x14ac:dyDescent="0.35">
      <c r="A60" s="57">
        <v>44796</v>
      </c>
      <c r="B60" s="58" t="s">
        <v>55</v>
      </c>
      <c r="C60" s="59">
        <v>3752</v>
      </c>
      <c r="D60" s="59" t="s">
        <v>173</v>
      </c>
      <c r="E60" s="60">
        <v>44786</v>
      </c>
      <c r="F60" s="60">
        <v>44786</v>
      </c>
      <c r="G60" s="61">
        <v>1</v>
      </c>
      <c r="H60" s="62">
        <v>30</v>
      </c>
      <c r="I60" s="63">
        <v>32.700000000000003</v>
      </c>
      <c r="J60" s="83"/>
      <c r="K60" s="72"/>
      <c r="L60" s="53"/>
      <c r="M60" s="75"/>
      <c r="N60" s="78"/>
      <c r="O60" s="38"/>
    </row>
    <row r="61" spans="1:15" ht="15" customHeight="1" x14ac:dyDescent="0.35">
      <c r="A61" s="57">
        <v>44796</v>
      </c>
      <c r="B61" s="58" t="s">
        <v>79</v>
      </c>
      <c r="C61" s="59">
        <v>3693</v>
      </c>
      <c r="D61" s="59" t="s">
        <v>175</v>
      </c>
      <c r="E61" s="60">
        <v>44763</v>
      </c>
      <c r="F61" s="60">
        <v>44772</v>
      </c>
      <c r="G61" s="61">
        <v>10</v>
      </c>
      <c r="H61" s="62">
        <v>60</v>
      </c>
      <c r="I61" s="63">
        <v>654</v>
      </c>
      <c r="J61" s="83"/>
      <c r="K61" s="72"/>
      <c r="L61" s="53"/>
      <c r="M61" s="75"/>
      <c r="N61" s="78"/>
      <c r="O61" s="38"/>
    </row>
    <row r="62" spans="1:15" ht="15" customHeight="1" x14ac:dyDescent="0.35">
      <c r="A62" s="57">
        <v>44796</v>
      </c>
      <c r="B62" s="58" t="s">
        <v>79</v>
      </c>
      <c r="C62" s="59">
        <v>3693</v>
      </c>
      <c r="D62" s="59" t="s">
        <v>175</v>
      </c>
      <c r="E62" s="60">
        <v>44774</v>
      </c>
      <c r="F62" s="60">
        <v>44779</v>
      </c>
      <c r="G62" s="61">
        <v>6</v>
      </c>
      <c r="H62" s="62">
        <v>60</v>
      </c>
      <c r="I62" s="63">
        <v>392.40000000000003</v>
      </c>
      <c r="J62" s="83"/>
      <c r="K62" s="72"/>
      <c r="L62" s="53"/>
      <c r="M62" s="75"/>
      <c r="N62" s="78"/>
      <c r="O62" s="38"/>
    </row>
    <row r="63" spans="1:15" ht="15" customHeight="1" x14ac:dyDescent="0.35">
      <c r="A63" s="57">
        <v>44796</v>
      </c>
      <c r="B63" s="58" t="s">
        <v>199</v>
      </c>
      <c r="C63" s="59">
        <v>3782</v>
      </c>
      <c r="D63" s="59" t="s">
        <v>174</v>
      </c>
      <c r="E63" s="60">
        <v>44793</v>
      </c>
      <c r="F63" s="60">
        <v>44793</v>
      </c>
      <c r="G63" s="61">
        <v>1</v>
      </c>
      <c r="H63" s="62">
        <v>89</v>
      </c>
      <c r="I63" s="63">
        <v>97.01</v>
      </c>
      <c r="J63" s="83"/>
      <c r="K63" s="72"/>
      <c r="L63" s="53"/>
      <c r="M63" s="75"/>
      <c r="N63" s="78"/>
      <c r="O63" s="38"/>
    </row>
    <row r="64" spans="1:15" ht="15" customHeight="1" x14ac:dyDescent="0.35">
      <c r="A64" s="57">
        <v>44796</v>
      </c>
      <c r="B64" s="58" t="s">
        <v>200</v>
      </c>
      <c r="C64" s="59">
        <v>3798</v>
      </c>
      <c r="D64" s="59" t="s">
        <v>174</v>
      </c>
      <c r="E64" s="60">
        <v>44793</v>
      </c>
      <c r="F64" s="60">
        <v>44793</v>
      </c>
      <c r="G64" s="61">
        <v>1</v>
      </c>
      <c r="H64" s="62">
        <v>20</v>
      </c>
      <c r="I64" s="63">
        <v>21.8</v>
      </c>
      <c r="J64" s="83"/>
      <c r="K64" s="72"/>
      <c r="L64" s="53"/>
      <c r="M64" s="75"/>
      <c r="N64" s="78"/>
      <c r="O64" s="38"/>
    </row>
    <row r="65" spans="1:14" s="38" customFormat="1" ht="15" customHeight="1" x14ac:dyDescent="0.35">
      <c r="A65" s="57">
        <v>44796</v>
      </c>
      <c r="B65" s="58" t="s">
        <v>63</v>
      </c>
      <c r="C65" s="59">
        <v>3603</v>
      </c>
      <c r="D65" s="59" t="s">
        <v>174</v>
      </c>
      <c r="E65" s="60">
        <v>44767</v>
      </c>
      <c r="F65" s="60">
        <v>44771</v>
      </c>
      <c r="G65" s="61">
        <v>5</v>
      </c>
      <c r="H65" s="62">
        <v>16</v>
      </c>
      <c r="I65" s="63">
        <v>87.2</v>
      </c>
      <c r="J65" s="83"/>
      <c r="K65" s="72"/>
      <c r="L65" s="53"/>
      <c r="M65" s="75"/>
      <c r="N65" s="78"/>
    </row>
    <row r="66" spans="1:14" s="38" customFormat="1" ht="15" customHeight="1" x14ac:dyDescent="0.35">
      <c r="A66" s="57">
        <v>44796</v>
      </c>
      <c r="B66" s="58" t="s">
        <v>78</v>
      </c>
      <c r="C66" s="59">
        <v>3730</v>
      </c>
      <c r="D66" s="59" t="s">
        <v>174</v>
      </c>
      <c r="E66" s="60">
        <v>44767</v>
      </c>
      <c r="F66" s="60">
        <v>44771</v>
      </c>
      <c r="G66" s="61">
        <v>5</v>
      </c>
      <c r="H66" s="62">
        <v>60</v>
      </c>
      <c r="I66" s="63">
        <v>327</v>
      </c>
      <c r="J66" s="83"/>
      <c r="K66" s="72"/>
      <c r="L66" s="53"/>
      <c r="M66" s="75"/>
      <c r="N66" s="78"/>
    </row>
    <row r="67" spans="1:14" s="38" customFormat="1" ht="15" customHeight="1" x14ac:dyDescent="0.35">
      <c r="A67" s="57">
        <v>44776</v>
      </c>
      <c r="B67" s="58" t="s">
        <v>95</v>
      </c>
      <c r="C67" s="59">
        <v>3332</v>
      </c>
      <c r="D67" s="59" t="s">
        <v>179</v>
      </c>
      <c r="E67" s="60">
        <v>44776</v>
      </c>
      <c r="F67" s="60">
        <v>44776</v>
      </c>
      <c r="G67" s="61">
        <v>1</v>
      </c>
      <c r="H67" s="62">
        <v>50</v>
      </c>
      <c r="I67" s="63">
        <v>62.5</v>
      </c>
      <c r="J67" s="83"/>
      <c r="K67" s="72"/>
      <c r="L67" s="53"/>
      <c r="M67" s="75"/>
      <c r="N67" s="78"/>
    </row>
    <row r="68" spans="1:14" s="38" customFormat="1" ht="15" customHeight="1" x14ac:dyDescent="0.35">
      <c r="A68" s="57">
        <v>44776</v>
      </c>
      <c r="B68" s="58" t="s">
        <v>95</v>
      </c>
      <c r="C68" s="59">
        <v>3332</v>
      </c>
      <c r="D68" s="59" t="s">
        <v>179</v>
      </c>
      <c r="E68" s="60">
        <v>44776</v>
      </c>
      <c r="F68" s="60">
        <v>44776</v>
      </c>
      <c r="G68" s="61">
        <v>1</v>
      </c>
      <c r="H68" s="62">
        <v>50</v>
      </c>
      <c r="I68" s="63">
        <v>62.5</v>
      </c>
      <c r="J68" s="83"/>
      <c r="K68" s="72"/>
      <c r="L68" s="53"/>
      <c r="M68" s="75"/>
      <c r="N68" s="78"/>
    </row>
  </sheetData>
  <sheetProtection sort="0" autoFilter="0"/>
  <autoFilter ref="A2:O5">
    <sortState ref="A3:O70">
      <sortCondition descending="1" ref="K2"/>
    </sortState>
  </autoFilter>
  <mergeCells count="1">
    <mergeCell ref="A1:I1"/>
  </mergeCells>
  <pageMargins left="0.511811024" right="0.511811024" top="0.78740157499999996" bottom="0.78740157499999996" header="0.31496062000000002" footer="0.31496062000000002"/>
  <pageSetup paperSize="9" scale="71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TempCombo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57150</xdr:colOff>
                <xdr:row>3</xdr:row>
                <xdr:rowOff>57150</xdr:rowOff>
              </to>
            </anchor>
          </controlPr>
        </control>
      </mc:Choice>
      <mc:Fallback>
        <control shapeId="4097" r:id="rId4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km</vt:lpstr>
      <vt:lpstr>tela2</vt:lpstr>
      <vt:lpstr>nomes</vt:lpstr>
      <vt:lpstr>historico</vt:lpstr>
      <vt:lpstr>historico!Area_de_impressao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Rodrigues</dc:creator>
  <cp:lastModifiedBy>William Rosas</cp:lastModifiedBy>
  <cp:lastPrinted>2022-07-11T16:00:52Z</cp:lastPrinted>
  <dcterms:created xsi:type="dcterms:W3CDTF">2022-07-05T19:17:13Z</dcterms:created>
  <dcterms:modified xsi:type="dcterms:W3CDTF">2022-12-19T19:42:59Z</dcterms:modified>
</cp:coreProperties>
</file>