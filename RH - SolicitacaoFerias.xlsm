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J:\Documentos\18. Metas\2022\Solicitação de férias\"/>
    </mc:Choice>
  </mc:AlternateContent>
  <bookViews>
    <workbookView xWindow="0" yWindow="0" windowWidth="20490" windowHeight="7620" firstSheet="1" activeTab="1"/>
  </bookViews>
  <sheets>
    <sheet name="inicial" sheetId="4" state="hidden" r:id="rId1"/>
    <sheet name="solicitar" sheetId="1" r:id="rId2"/>
    <sheet name="Geren" sheetId="6" state="hidden" r:id="rId3"/>
    <sheet name="FO" sheetId="5" state="hidden" r:id="rId4"/>
    <sheet name="nomes" sheetId="7" state="hidden" r:id="rId5"/>
  </sheets>
  <definedNames>
    <definedName name="_xlnm._FilterDatabase" localSheetId="2" hidden="1">Geren!$A$3:$M$213</definedName>
    <definedName name="_xlnm.Print_Area" localSheetId="3">FO!$A$1:$X$27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6" l="1"/>
  <c r="H77" i="6" l="1"/>
  <c r="J77" i="6" s="1"/>
  <c r="O7" i="1"/>
  <c r="O6" i="1"/>
  <c r="H167" i="6" l="1"/>
  <c r="J167" i="6" s="1"/>
  <c r="H114" i="6"/>
  <c r="J114" i="6" s="1"/>
  <c r="H208" i="6"/>
  <c r="J208" i="6" s="1"/>
  <c r="H191" i="6"/>
  <c r="J191" i="6" s="1"/>
  <c r="H14" i="6"/>
  <c r="J14" i="6" s="1"/>
  <c r="H207" i="6"/>
  <c r="J207" i="6" s="1"/>
  <c r="H183" i="6"/>
  <c r="J183" i="6" s="1"/>
  <c r="H159" i="6"/>
  <c r="J159" i="6" s="1"/>
  <c r="H106" i="6"/>
  <c r="J106" i="6" s="1"/>
  <c r="H13" i="6"/>
  <c r="J13" i="6" s="1"/>
  <c r="H199" i="6"/>
  <c r="J199" i="6" s="1"/>
  <c r="H176" i="6"/>
  <c r="J176" i="6" s="1"/>
  <c r="H154" i="6"/>
  <c r="J154" i="6" s="1"/>
  <c r="H69" i="6"/>
  <c r="J69" i="6" s="1"/>
  <c r="H5" i="6"/>
  <c r="J5" i="6" s="1"/>
  <c r="H192" i="6"/>
  <c r="J192" i="6" s="1"/>
  <c r="H175" i="6"/>
  <c r="J175" i="6" s="1"/>
  <c r="H133" i="6"/>
  <c r="J133" i="6" s="1"/>
  <c r="H19" i="6"/>
  <c r="J19" i="6" s="1"/>
  <c r="H6" i="6"/>
  <c r="J6" i="6" s="1"/>
  <c r="H200" i="6"/>
  <c r="J200" i="6" s="1"/>
  <c r="H184" i="6"/>
  <c r="J184" i="6" s="1"/>
  <c r="H168" i="6"/>
  <c r="J168" i="6" s="1"/>
  <c r="H138" i="6"/>
  <c r="J138" i="6" s="1"/>
  <c r="K10" i="6"/>
  <c r="K133" i="6"/>
  <c r="H29" i="6"/>
  <c r="J29" i="6" s="1"/>
  <c r="H53" i="6"/>
  <c r="J53" i="6" s="1"/>
  <c r="H61" i="6"/>
  <c r="J61" i="6" s="1"/>
  <c r="H70" i="6"/>
  <c r="J70" i="6" s="1"/>
  <c r="H81" i="6"/>
  <c r="J81" i="6" s="1"/>
  <c r="H90" i="6"/>
  <c r="J90" i="6" s="1"/>
  <c r="H98" i="6"/>
  <c r="J98" i="6" s="1"/>
  <c r="H108" i="6"/>
  <c r="J108" i="6" s="1"/>
  <c r="H115" i="6"/>
  <c r="J115" i="6" s="1"/>
  <c r="H122" i="6"/>
  <c r="J122" i="6" s="1"/>
  <c r="H129" i="6"/>
  <c r="J129" i="6" s="1"/>
  <c r="H134" i="6"/>
  <c r="J134" i="6" s="1"/>
  <c r="H139" i="6"/>
  <c r="J139" i="6" s="1"/>
  <c r="H145" i="6"/>
  <c r="J145" i="6" s="1"/>
  <c r="H150" i="6"/>
  <c r="J150" i="6" s="1"/>
  <c r="H155" i="6"/>
  <c r="J155" i="6" s="1"/>
  <c r="H161" i="6"/>
  <c r="J161" i="6" s="1"/>
  <c r="H165" i="6"/>
  <c r="J165" i="6" s="1"/>
  <c r="H169" i="6"/>
  <c r="J169" i="6" s="1"/>
  <c r="H173" i="6"/>
  <c r="J173" i="6" s="1"/>
  <c r="H177" i="6"/>
  <c r="J177" i="6" s="1"/>
  <c r="H181" i="6"/>
  <c r="J181" i="6" s="1"/>
  <c r="H185" i="6"/>
  <c r="J185" i="6" s="1"/>
  <c r="H189" i="6"/>
  <c r="J189" i="6" s="1"/>
  <c r="H193" i="6"/>
  <c r="J193" i="6" s="1"/>
  <c r="H197" i="6"/>
  <c r="J197" i="6" s="1"/>
  <c r="H201" i="6"/>
  <c r="J201" i="6" s="1"/>
  <c r="H205" i="6"/>
  <c r="J205" i="6" s="1"/>
  <c r="H209" i="6"/>
  <c r="J209" i="6" s="1"/>
  <c r="H213" i="6"/>
  <c r="J213" i="6" s="1"/>
  <c r="H7" i="6"/>
  <c r="J7" i="6" s="1"/>
  <c r="H11" i="6"/>
  <c r="J11" i="6" s="1"/>
  <c r="H15" i="6"/>
  <c r="J15" i="6" s="1"/>
  <c r="K154" i="6"/>
  <c r="H41" i="6"/>
  <c r="J41" i="6" s="1"/>
  <c r="H54" i="6"/>
  <c r="J54" i="6" s="1"/>
  <c r="H64" i="6"/>
  <c r="J64" i="6" s="1"/>
  <c r="H74" i="6"/>
  <c r="J74" i="6" s="1"/>
  <c r="H82" i="6"/>
  <c r="J82" i="6" s="1"/>
  <c r="H92" i="6"/>
  <c r="J92" i="6" s="1"/>
  <c r="H102" i="6"/>
  <c r="J102" i="6" s="1"/>
  <c r="H110" i="6"/>
  <c r="J110" i="6" s="1"/>
  <c r="H116" i="6"/>
  <c r="J116" i="6" s="1"/>
  <c r="H124" i="6"/>
  <c r="J124" i="6" s="1"/>
  <c r="H130" i="6"/>
  <c r="J130" i="6" s="1"/>
  <c r="H135" i="6"/>
  <c r="J135" i="6" s="1"/>
  <c r="H141" i="6"/>
  <c r="J141" i="6" s="1"/>
  <c r="H146" i="6"/>
  <c r="J146" i="6" s="1"/>
  <c r="H151" i="6"/>
  <c r="J151" i="6" s="1"/>
  <c r="H157" i="6"/>
  <c r="J157" i="6" s="1"/>
  <c r="H162" i="6"/>
  <c r="J162" i="6" s="1"/>
  <c r="H166" i="6"/>
  <c r="J166" i="6" s="1"/>
  <c r="H170" i="6"/>
  <c r="J170" i="6" s="1"/>
  <c r="H174" i="6"/>
  <c r="J174" i="6" s="1"/>
  <c r="H178" i="6"/>
  <c r="J178" i="6" s="1"/>
  <c r="H182" i="6"/>
  <c r="J182" i="6" s="1"/>
  <c r="H186" i="6"/>
  <c r="J186" i="6" s="1"/>
  <c r="H190" i="6"/>
  <c r="J190" i="6" s="1"/>
  <c r="H194" i="6"/>
  <c r="J194" i="6" s="1"/>
  <c r="H198" i="6"/>
  <c r="J198" i="6" s="1"/>
  <c r="H202" i="6"/>
  <c r="J202" i="6" s="1"/>
  <c r="H206" i="6"/>
  <c r="J206" i="6" s="1"/>
  <c r="H210" i="6"/>
  <c r="J210" i="6" s="1"/>
  <c r="H4" i="6"/>
  <c r="J4" i="6" s="1"/>
  <c r="H8" i="6"/>
  <c r="J8" i="6" s="1"/>
  <c r="H12" i="6"/>
  <c r="J12" i="6" s="1"/>
  <c r="H16" i="6"/>
  <c r="J16" i="6" s="1"/>
  <c r="K207" i="6"/>
  <c r="H46" i="6"/>
  <c r="J46" i="6" s="1"/>
  <c r="H56" i="6"/>
  <c r="J56" i="6" s="1"/>
  <c r="H66" i="6"/>
  <c r="J66" i="6" s="1"/>
  <c r="H76" i="6"/>
  <c r="J76" i="6" s="1"/>
  <c r="H85" i="6"/>
  <c r="J85" i="6" s="1"/>
  <c r="H96" i="6"/>
  <c r="J96" i="6" s="1"/>
  <c r="H104" i="6"/>
  <c r="J104" i="6" s="1"/>
  <c r="H111" i="6"/>
  <c r="J111" i="6" s="1"/>
  <c r="H119" i="6"/>
  <c r="J119" i="6" s="1"/>
  <c r="H126" i="6"/>
  <c r="J126" i="6" s="1"/>
  <c r="H131" i="6"/>
  <c r="J131" i="6" s="1"/>
  <c r="H137" i="6"/>
  <c r="J137" i="6" s="1"/>
  <c r="H142" i="6"/>
  <c r="J142" i="6" s="1"/>
  <c r="H147" i="6"/>
  <c r="J147" i="6" s="1"/>
  <c r="H153" i="6"/>
  <c r="J153" i="6" s="1"/>
  <c r="H158" i="6"/>
  <c r="J158" i="6" s="1"/>
  <c r="H10" i="6"/>
  <c r="J10" i="6" s="1"/>
  <c r="H212" i="6"/>
  <c r="J212" i="6" s="1"/>
  <c r="H204" i="6"/>
  <c r="J204" i="6" s="1"/>
  <c r="H196" i="6"/>
  <c r="J196" i="6" s="1"/>
  <c r="H188" i="6"/>
  <c r="J188" i="6" s="1"/>
  <c r="H180" i="6"/>
  <c r="J180" i="6" s="1"/>
  <c r="H172" i="6"/>
  <c r="J172" i="6" s="1"/>
  <c r="H164" i="6"/>
  <c r="J164" i="6" s="1"/>
  <c r="H149" i="6"/>
  <c r="J149" i="6" s="1"/>
  <c r="H127" i="6"/>
  <c r="J127" i="6" s="1"/>
  <c r="H97" i="6"/>
  <c r="J97" i="6" s="1"/>
  <c r="H60" i="6"/>
  <c r="J60" i="6" s="1"/>
  <c r="H17" i="6"/>
  <c r="J17" i="6" s="1"/>
  <c r="H9" i="6"/>
  <c r="J9" i="6" s="1"/>
  <c r="H211" i="6"/>
  <c r="J211" i="6" s="1"/>
  <c r="H203" i="6"/>
  <c r="J203" i="6" s="1"/>
  <c r="H195" i="6"/>
  <c r="J195" i="6" s="1"/>
  <c r="H187" i="6"/>
  <c r="J187" i="6" s="1"/>
  <c r="H179" i="6"/>
  <c r="J179" i="6" s="1"/>
  <c r="H171" i="6"/>
  <c r="J171" i="6" s="1"/>
  <c r="H163" i="6"/>
  <c r="J163" i="6" s="1"/>
  <c r="H143" i="6"/>
  <c r="J143" i="6" s="1"/>
  <c r="H120" i="6"/>
  <c r="J120" i="6" s="1"/>
  <c r="H88" i="6"/>
  <c r="J88" i="6" s="1"/>
  <c r="H49" i="6"/>
  <c r="J49" i="6" s="1"/>
  <c r="H160" i="6"/>
  <c r="J160" i="6" s="1"/>
  <c r="H156" i="6"/>
  <c r="J156" i="6" s="1"/>
  <c r="H152" i="6"/>
  <c r="J152" i="6" s="1"/>
  <c r="H148" i="6"/>
  <c r="J148" i="6" s="1"/>
  <c r="H144" i="6"/>
  <c r="J144" i="6" s="1"/>
  <c r="H140" i="6"/>
  <c r="J140" i="6" s="1"/>
  <c r="H136" i="6"/>
  <c r="J136" i="6" s="1"/>
  <c r="H132" i="6"/>
  <c r="J132" i="6" s="1"/>
  <c r="H128" i="6"/>
  <c r="J128" i="6" s="1"/>
  <c r="H123" i="6"/>
  <c r="J123" i="6" s="1"/>
  <c r="H118" i="6"/>
  <c r="J118" i="6" s="1"/>
  <c r="H112" i="6"/>
  <c r="J112" i="6" s="1"/>
  <c r="H107" i="6"/>
  <c r="J107" i="6" s="1"/>
  <c r="H101" i="6"/>
  <c r="J101" i="6" s="1"/>
  <c r="H93" i="6"/>
  <c r="J93" i="6" s="1"/>
  <c r="H86" i="6"/>
  <c r="J86" i="6" s="1"/>
  <c r="H80" i="6"/>
  <c r="J80" i="6" s="1"/>
  <c r="H72" i="6"/>
  <c r="J72" i="6" s="1"/>
  <c r="H65" i="6"/>
  <c r="J65" i="6" s="1"/>
  <c r="H58" i="6"/>
  <c r="J58" i="6" s="1"/>
  <c r="H50" i="6"/>
  <c r="J50" i="6" s="1"/>
  <c r="H38" i="6"/>
  <c r="J38" i="6" s="1"/>
  <c r="K206" i="6"/>
  <c r="K174" i="6"/>
  <c r="H125" i="6"/>
  <c r="J125" i="6" s="1"/>
  <c r="H121" i="6"/>
  <c r="J121" i="6" s="1"/>
  <c r="H117" i="6"/>
  <c r="J117" i="6" s="1"/>
  <c r="H113" i="6"/>
  <c r="J113" i="6" s="1"/>
  <c r="H109" i="6"/>
  <c r="J109" i="6" s="1"/>
  <c r="H105" i="6"/>
  <c r="J105" i="6" s="1"/>
  <c r="H100" i="6"/>
  <c r="J100" i="6" s="1"/>
  <c r="H94" i="6"/>
  <c r="J94" i="6" s="1"/>
  <c r="H89" i="6"/>
  <c r="J89" i="6" s="1"/>
  <c r="H84" i="6"/>
  <c r="J84" i="6" s="1"/>
  <c r="H78" i="6"/>
  <c r="J78" i="6" s="1"/>
  <c r="H73" i="6"/>
  <c r="J73" i="6" s="1"/>
  <c r="H68" i="6"/>
  <c r="J68" i="6" s="1"/>
  <c r="H62" i="6"/>
  <c r="J62" i="6" s="1"/>
  <c r="H57" i="6"/>
  <c r="J57" i="6" s="1"/>
  <c r="H52" i="6"/>
  <c r="J52" i="6" s="1"/>
  <c r="H42" i="6"/>
  <c r="J42" i="6" s="1"/>
  <c r="H28" i="6"/>
  <c r="J28" i="6" s="1"/>
  <c r="K193" i="6"/>
  <c r="K125" i="6"/>
  <c r="K171" i="6"/>
  <c r="K85" i="6"/>
  <c r="H103" i="6"/>
  <c r="J103" i="6" s="1"/>
  <c r="H99" i="6"/>
  <c r="J99" i="6" s="1"/>
  <c r="H95" i="6"/>
  <c r="J95" i="6" s="1"/>
  <c r="H91" i="6"/>
  <c r="J91" i="6" s="1"/>
  <c r="H87" i="6"/>
  <c r="J87" i="6" s="1"/>
  <c r="H83" i="6"/>
  <c r="J83" i="6" s="1"/>
  <c r="H79" i="6"/>
  <c r="J79" i="6" s="1"/>
  <c r="H75" i="6"/>
  <c r="J75" i="6" s="1"/>
  <c r="H71" i="6"/>
  <c r="J71" i="6" s="1"/>
  <c r="H67" i="6"/>
  <c r="J67" i="6" s="1"/>
  <c r="H63" i="6"/>
  <c r="J63" i="6" s="1"/>
  <c r="H59" i="6"/>
  <c r="J59" i="6" s="1"/>
  <c r="H55" i="6"/>
  <c r="J55" i="6" s="1"/>
  <c r="H51" i="6"/>
  <c r="J51" i="6" s="1"/>
  <c r="H45" i="6"/>
  <c r="J45" i="6" s="1"/>
  <c r="H37" i="6"/>
  <c r="J37" i="6" s="1"/>
  <c r="K4" i="6"/>
  <c r="K190" i="6"/>
  <c r="K153" i="6"/>
  <c r="K81" i="6"/>
  <c r="H34" i="6"/>
  <c r="J34" i="6" s="1"/>
  <c r="H24" i="6"/>
  <c r="J24" i="6" s="1"/>
  <c r="K9" i="6"/>
  <c r="K201" i="6"/>
  <c r="K182" i="6"/>
  <c r="K165" i="6"/>
  <c r="K145" i="6"/>
  <c r="K112" i="6"/>
  <c r="K64" i="6"/>
  <c r="H33" i="6"/>
  <c r="J33" i="6" s="1"/>
  <c r="H23" i="6"/>
  <c r="J23" i="6" s="1"/>
  <c r="K213" i="6"/>
  <c r="K198" i="6"/>
  <c r="K181" i="6"/>
  <c r="K161" i="6"/>
  <c r="K143" i="6"/>
  <c r="K105" i="6"/>
  <c r="K53" i="6"/>
  <c r="H48" i="6"/>
  <c r="J48" i="6" s="1"/>
  <c r="H44" i="6"/>
  <c r="J44" i="6" s="1"/>
  <c r="H40" i="6"/>
  <c r="J40" i="6" s="1"/>
  <c r="H36" i="6"/>
  <c r="J36" i="6" s="1"/>
  <c r="H32" i="6"/>
  <c r="J32" i="6" s="1"/>
  <c r="H27" i="6"/>
  <c r="J27" i="6" s="1"/>
  <c r="H21" i="6"/>
  <c r="J21" i="6" s="1"/>
  <c r="K8" i="6"/>
  <c r="K211" i="6"/>
  <c r="K203" i="6"/>
  <c r="K197" i="6"/>
  <c r="K187" i="6"/>
  <c r="K179" i="6"/>
  <c r="K169" i="6"/>
  <c r="K159" i="6"/>
  <c r="K150" i="6"/>
  <c r="K137" i="6"/>
  <c r="K121" i="6"/>
  <c r="K101" i="6"/>
  <c r="K72" i="6"/>
  <c r="K49" i="6"/>
  <c r="H47" i="6"/>
  <c r="J47" i="6" s="1"/>
  <c r="H43" i="6"/>
  <c r="J43" i="6" s="1"/>
  <c r="H39" i="6"/>
  <c r="J39" i="6" s="1"/>
  <c r="H35" i="6"/>
  <c r="J35" i="6" s="1"/>
  <c r="H31" i="6"/>
  <c r="J31" i="6" s="1"/>
  <c r="H25" i="6"/>
  <c r="J25" i="6" s="1"/>
  <c r="H20" i="6"/>
  <c r="J20" i="6" s="1"/>
  <c r="K7" i="6"/>
  <c r="K209" i="6"/>
  <c r="K202" i="6"/>
  <c r="K195" i="6"/>
  <c r="K186" i="6"/>
  <c r="K175" i="6"/>
  <c r="K166" i="6"/>
  <c r="K158" i="6"/>
  <c r="K147" i="6"/>
  <c r="K136" i="6"/>
  <c r="K117" i="6"/>
  <c r="K93" i="6"/>
  <c r="K69" i="6"/>
  <c r="K41" i="6"/>
  <c r="K191" i="6"/>
  <c r="K185" i="6"/>
  <c r="K177" i="6"/>
  <c r="K170" i="6"/>
  <c r="K163" i="6"/>
  <c r="K155" i="6"/>
  <c r="K149" i="6"/>
  <c r="K142" i="6"/>
  <c r="K128" i="6"/>
  <c r="K113" i="6"/>
  <c r="K96" i="6"/>
  <c r="K80" i="6"/>
  <c r="K57" i="6"/>
  <c r="K40" i="6"/>
  <c r="K37" i="6"/>
  <c r="K29" i="6"/>
  <c r="K25" i="6"/>
  <c r="K21" i="6"/>
  <c r="K104" i="6"/>
  <c r="K89" i="6"/>
  <c r="K73" i="6"/>
  <c r="K61" i="6"/>
  <c r="K48" i="6"/>
  <c r="K32" i="6"/>
  <c r="K17" i="6"/>
  <c r="K16" i="6"/>
  <c r="H30" i="6"/>
  <c r="J30" i="6" s="1"/>
  <c r="H26" i="6"/>
  <c r="J26" i="6" s="1"/>
  <c r="H22" i="6"/>
  <c r="J22" i="6" s="1"/>
  <c r="H18" i="6"/>
  <c r="J18" i="6" s="1"/>
  <c r="K5" i="6"/>
  <c r="K210" i="6"/>
  <c r="K205" i="6"/>
  <c r="K199" i="6"/>
  <c r="K194" i="6"/>
  <c r="K189" i="6"/>
  <c r="K183" i="6"/>
  <c r="K178" i="6"/>
  <c r="K173" i="6"/>
  <c r="K167" i="6"/>
  <c r="K162" i="6"/>
  <c r="K157" i="6"/>
  <c r="K151" i="6"/>
  <c r="K146" i="6"/>
  <c r="K141" i="6"/>
  <c r="K129" i="6"/>
  <c r="K120" i="6"/>
  <c r="K109" i="6"/>
  <c r="K97" i="6"/>
  <c r="K88" i="6"/>
  <c r="K77" i="6"/>
  <c r="K65" i="6"/>
  <c r="K56" i="6"/>
  <c r="K45" i="6"/>
  <c r="K33" i="6"/>
  <c r="K24" i="6"/>
  <c r="K13" i="6"/>
  <c r="K6" i="6"/>
  <c r="K212" i="6"/>
  <c r="K208" i="6"/>
  <c r="K204" i="6"/>
  <c r="K200" i="6"/>
  <c r="K196" i="6"/>
  <c r="K192" i="6"/>
  <c r="K188" i="6"/>
  <c r="K184" i="6"/>
  <c r="K180" i="6"/>
  <c r="K176" i="6"/>
  <c r="K172" i="6"/>
  <c r="K168" i="6"/>
  <c r="K164" i="6"/>
  <c r="K160" i="6"/>
  <c r="K156" i="6"/>
  <c r="K152" i="6"/>
  <c r="K148" i="6"/>
  <c r="K144" i="6"/>
  <c r="K140" i="6"/>
  <c r="K132" i="6"/>
  <c r="K124" i="6"/>
  <c r="K116" i="6"/>
  <c r="K108" i="6"/>
  <c r="K100" i="6"/>
  <c r="K92" i="6"/>
  <c r="K84" i="6"/>
  <c r="K76" i="6"/>
  <c r="K68" i="6"/>
  <c r="K60" i="6"/>
  <c r="K52" i="6"/>
  <c r="K44" i="6"/>
  <c r="K36" i="6"/>
  <c r="K28" i="6"/>
  <c r="K20" i="6"/>
  <c r="K12" i="6"/>
  <c r="K139" i="6"/>
  <c r="K135" i="6"/>
  <c r="K131" i="6"/>
  <c r="K127" i="6"/>
  <c r="K123" i="6"/>
  <c r="K119" i="6"/>
  <c r="K115" i="6"/>
  <c r="K111" i="6"/>
  <c r="K107" i="6"/>
  <c r="K103" i="6"/>
  <c r="K99" i="6"/>
  <c r="K95" i="6"/>
  <c r="K91" i="6"/>
  <c r="K87" i="6"/>
  <c r="K83" i="6"/>
  <c r="K79" i="6"/>
  <c r="K75" i="6"/>
  <c r="K71" i="6"/>
  <c r="K67" i="6"/>
  <c r="K63" i="6"/>
  <c r="K59" i="6"/>
  <c r="K55" i="6"/>
  <c r="K51" i="6"/>
  <c r="K47" i="6"/>
  <c r="K43" i="6"/>
  <c r="K39" i="6"/>
  <c r="K35" i="6"/>
  <c r="K31" i="6"/>
  <c r="K27" i="6"/>
  <c r="K23" i="6"/>
  <c r="K19" i="6"/>
  <c r="K15" i="6"/>
  <c r="K11" i="6"/>
  <c r="K138" i="6"/>
  <c r="K134" i="6"/>
  <c r="K130" i="6"/>
  <c r="K126" i="6"/>
  <c r="K122" i="6"/>
  <c r="K118" i="6"/>
  <c r="K114" i="6"/>
  <c r="K110" i="6"/>
  <c r="K106" i="6"/>
  <c r="K102" i="6"/>
  <c r="K98" i="6"/>
  <c r="K94" i="6"/>
  <c r="K90" i="6"/>
  <c r="K86" i="6"/>
  <c r="K82" i="6"/>
  <c r="K78" i="6"/>
  <c r="K74" i="6"/>
  <c r="K70" i="6"/>
  <c r="K66" i="6"/>
  <c r="K62" i="6"/>
  <c r="K58" i="6"/>
  <c r="K54" i="6"/>
  <c r="K50" i="6"/>
  <c r="K46" i="6"/>
  <c r="K42" i="6"/>
  <c r="K38" i="6"/>
  <c r="K34" i="6"/>
  <c r="K30" i="6"/>
  <c r="K26" i="6"/>
  <c r="K22" i="6"/>
  <c r="K18" i="6"/>
  <c r="K14" i="6"/>
  <c r="AB19" i="5"/>
  <c r="AB18" i="5"/>
  <c r="AB16" i="5"/>
  <c r="AB14" i="5"/>
  <c r="AA19" i="5"/>
  <c r="I19" i="5" s="1"/>
  <c r="AA18" i="5"/>
  <c r="AA16" i="5"/>
  <c r="I16" i="5" s="1"/>
  <c r="AA14" i="5"/>
  <c r="E14" i="5" s="1"/>
  <c r="Q12" i="5"/>
  <c r="B12" i="5"/>
  <c r="B7" i="5"/>
  <c r="I18" i="5" l="1"/>
  <c r="AA17" i="5"/>
  <c r="AB17" i="5"/>
  <c r="A6" i="1"/>
  <c r="R6" i="5" s="1"/>
  <c r="I17" i="5" l="1"/>
</calcChain>
</file>

<file path=xl/sharedStrings.xml><?xml version="1.0" encoding="utf-8"?>
<sst xmlns="http://schemas.openxmlformats.org/spreadsheetml/2006/main" count="1119" uniqueCount="223">
  <si>
    <t>Colaborador</t>
  </si>
  <si>
    <t>Data da solicitação</t>
  </si>
  <si>
    <t>SOLICITAÇÃO DE FÉRIAS</t>
  </si>
  <si>
    <t>PARA:</t>
  </si>
  <si>
    <t>Recursos Humanos</t>
  </si>
  <si>
    <t>DATA:</t>
  </si>
  <si>
    <t>/</t>
  </si>
  <si>
    <t>DE:</t>
  </si>
  <si>
    <t>Favor providenciar as férias do funcionário, de acordo com a tabela abaixo:</t>
  </si>
  <si>
    <t>Nome:</t>
  </si>
  <si>
    <t>Reg.:</t>
  </si>
  <si>
    <t>Data de início das férias:</t>
  </si>
  <si>
    <t>Direito de férias:</t>
  </si>
  <si>
    <t>Dias de descanso:</t>
  </si>
  <si>
    <t>Dias abonados:</t>
  </si>
  <si>
    <t>Solicita 1ª parcela 13º salário:</t>
  </si>
  <si>
    <t>Atenciosamente</t>
  </si>
  <si>
    <t>Gerência / Liderança:</t>
  </si>
  <si>
    <t>Diretoria:</t>
  </si>
  <si>
    <t>Ciente:</t>
  </si>
  <si>
    <t>Recebido em:</t>
  </si>
  <si>
    <t>Diretor de Recursos Humanos</t>
  </si>
  <si>
    <t>FO 03.046.01</t>
  </si>
  <si>
    <t>PRENSA JUNDIAI S.A</t>
  </si>
  <si>
    <t>MATRICULA</t>
  </si>
  <si>
    <t>COLABORADOR</t>
  </si>
  <si>
    <t>SETOR</t>
  </si>
  <si>
    <t>LÍDER/GERENTE/RESPONSAVEL PELO SETOR</t>
  </si>
  <si>
    <t>PERIODO AQUISITIVO</t>
  </si>
  <si>
    <t>DIAS DE DIREITO</t>
  </si>
  <si>
    <t>DÉBITO</t>
  </si>
  <si>
    <t>SALDO</t>
  </si>
  <si>
    <t>AVOS DE DIREITO</t>
  </si>
  <si>
    <t>SITUAÇÃO</t>
  </si>
  <si>
    <t>ANA CRISTINA SILVA DE MATOS</t>
  </si>
  <si>
    <t>ADMINISTRAÇÃO</t>
  </si>
  <si>
    <t>ROGÉRIO DE SOUZA</t>
  </si>
  <si>
    <t>á</t>
  </si>
  <si>
    <t>Aberto</t>
  </si>
  <si>
    <t>CESAR FAJARDO DOS SANTOS</t>
  </si>
  <si>
    <t>CLAUDIO LUIZ DE SOUSA</t>
  </si>
  <si>
    <t>ROGERIO DE SOUZA</t>
  </si>
  <si>
    <t>THAIS MATOS DA SILVA</t>
  </si>
  <si>
    <t>AGNALDO CHAVES PEREIRA</t>
  </si>
  <si>
    <t>ALMOXARIFADO</t>
  </si>
  <si>
    <t>THIAGO RAFAEL BÊ</t>
  </si>
  <si>
    <t>DIEGO HENRIQUE DIAS</t>
  </si>
  <si>
    <t>LUCAS APARECIDO DE CASTRO</t>
  </si>
  <si>
    <t>MARCELO CICERO FRANCO</t>
  </si>
  <si>
    <t>MATHEUS RYAN BATISTA SANTOS</t>
  </si>
  <si>
    <t>THIAGO PLACIDINO</t>
  </si>
  <si>
    <t>LUCAS FERMIANO NICOLAU</t>
  </si>
  <si>
    <t>ASSISTÊNCIA TECNICA</t>
  </si>
  <si>
    <t>WILLIAM AMADEU</t>
  </si>
  <si>
    <t>ROGERIO DE JESUS CUMIN</t>
  </si>
  <si>
    <t>THAIWAN CARMELLO</t>
  </si>
  <si>
    <t>AMAURI FERREIRA DE SOUZA</t>
  </si>
  <si>
    <t>CALDERARIA</t>
  </si>
  <si>
    <t>FERNANDO SALVIANO DA SILVA</t>
  </si>
  <si>
    <t>ANDRE DOS SANTOS</t>
  </si>
  <si>
    <t>CRISTOVAO ALVES DA SILVA</t>
  </si>
  <si>
    <t>ERICK LUAN BEZERRA DE LIMA</t>
  </si>
  <si>
    <t>FRANCISCO FERNANDES LAURENTINO</t>
  </si>
  <si>
    <t>GILTON CRISTIANO NOGUEIRA</t>
  </si>
  <si>
    <t>JEFFERSON ALEX DE SOUZA</t>
  </si>
  <si>
    <t>JORGE ARMANDO CAMARGO</t>
  </si>
  <si>
    <t>JOSE ARLINDO BARBOSA CERQUEIRA</t>
  </si>
  <si>
    <t>JULIANO EUSEBIO DA SILVA</t>
  </si>
  <si>
    <t>JUNIOR SILVA DUARTE</t>
  </si>
  <si>
    <t>LUIS FERNANDO MARTINS</t>
  </si>
  <si>
    <t>MARCOS JOSE DA SILVA</t>
  </si>
  <si>
    <t>RAFAEL CARNEIRO DOS SANTOS</t>
  </si>
  <si>
    <t>THIAGO DA SILVA VERAS</t>
  </si>
  <si>
    <t>THIAGO DE CARVALHO</t>
  </si>
  <si>
    <t>IRNAR MENDES DE MOURA</t>
  </si>
  <si>
    <t>COMERCIAL</t>
  </si>
  <si>
    <t>SERGIO TAVARES</t>
  </si>
  <si>
    <t>MARCOS FUKUSHIMA</t>
  </si>
  <si>
    <t>VITOR HUGO DO NASCIMENTO</t>
  </si>
  <si>
    <t>DIEGO BENEDICTO</t>
  </si>
  <si>
    <t>COMPRAS</t>
  </si>
  <si>
    <t>MARCEL ROBERTO CARRILHO</t>
  </si>
  <si>
    <t>RODRIGO ZOMIGNANI</t>
  </si>
  <si>
    <t>DIEGO DE MORAIS REZENDE</t>
  </si>
  <si>
    <t>ENGENHARIA</t>
  </si>
  <si>
    <t>RICARDO RUZZA</t>
  </si>
  <si>
    <t>EDNEI MONTEIRO DE SOUZA</t>
  </si>
  <si>
    <t>ESTER CRISTINE SILVA DE OLIVEIRA</t>
  </si>
  <si>
    <t>FREDERICO NAVILLE PRADO</t>
  </si>
  <si>
    <t>RAFAEL FERRARI</t>
  </si>
  <si>
    <t>RENATO CORRADINI DI PIETRO</t>
  </si>
  <si>
    <t>RICARDO BARBOSA DOS SANTOS</t>
  </si>
  <si>
    <t>RODRIGO COLASANTO BENEDICTO</t>
  </si>
  <si>
    <t>AGNALDO COMIN</t>
  </si>
  <si>
    <t>FUNDIÇÃO</t>
  </si>
  <si>
    <t>JOSICLEI DE LIMA</t>
  </si>
  <si>
    <t>AGNALDO LUIZ DE SOUZA</t>
  </si>
  <si>
    <t>ANDERSON DE GODOY</t>
  </si>
  <si>
    <t>AUGUSTO JOSE FERREIRA DOS SANTOS</t>
  </si>
  <si>
    <t>CLAUDINEI DE PAULA</t>
  </si>
  <si>
    <t>CLAUDINEI RODRIGUES</t>
  </si>
  <si>
    <t>EDENILSON ALVES DE SOUZA</t>
  </si>
  <si>
    <t>ELIAS LANDIM DE OLIVEIRA</t>
  </si>
  <si>
    <t>MARCIO LAURENTINO BRAGA</t>
  </si>
  <si>
    <t>MARIO BUENO FIGUEIREDO</t>
  </si>
  <si>
    <t>MIGUEL LUIS INOCENCIO</t>
  </si>
  <si>
    <t>PEDRO QUINTINO BATISTA</t>
  </si>
  <si>
    <t>VALDILEI DE ALMEIDA</t>
  </si>
  <si>
    <t>LAZARO ANTONIO APOLINARIO</t>
  </si>
  <si>
    <t>GERÊNCIA</t>
  </si>
  <si>
    <t>FERNANDO ALVES DE ALMEIDA</t>
  </si>
  <si>
    <t>MANUTENÇÃO</t>
  </si>
  <si>
    <t>EDILSON CERIONI</t>
  </si>
  <si>
    <t>HENRIQUE DE SOUSA PINTO</t>
  </si>
  <si>
    <t>JONATAS SILVA DE OLIVEIRA</t>
  </si>
  <si>
    <t>LUCAS HENRIQUE SILVA</t>
  </si>
  <si>
    <t>VALMIR PAULINO DE AZEVEDO</t>
  </si>
  <si>
    <t>FILIPI DE OLIVEIRA PASSOS</t>
  </si>
  <si>
    <t>METODOS E PROCESSOS</t>
  </si>
  <si>
    <t>THIAGO HENRIQUE DA SILVA</t>
  </si>
  <si>
    <t>VINICIUS VIEIRA DOS SANTOS</t>
  </si>
  <si>
    <t>WILLIAM WAGNER ROSAS</t>
  </si>
  <si>
    <t>CHARLES ATAEL CLARINDO GONÇALVES</t>
  </si>
  <si>
    <t>MONTAGEM</t>
  </si>
  <si>
    <t>EBRAN LINCON MARCATTI</t>
  </si>
  <si>
    <t>DANILO AUGUSTO APARECIDO PIERAZO</t>
  </si>
  <si>
    <t>DIOGO HENRIQUE PAULINO DE LIMA</t>
  </si>
  <si>
    <t>GEOVANY GUSTAVO LEAO GOMES</t>
  </si>
  <si>
    <t>GIVANIL DE OLIVEIRA DORTA</t>
  </si>
  <si>
    <t>GUSTAVO ROVERI FORNAZARI</t>
  </si>
  <si>
    <t>JOAO CARLOS NOGUEIRA</t>
  </si>
  <si>
    <t>LUCAS GUSTAVO DO NASCIMENTO</t>
  </si>
  <si>
    <t>MARTINHO DOS SANTOS OLIVEIRA NETO</t>
  </si>
  <si>
    <t>MIGUEL FRANCISCO DOS SANTOS NETTO</t>
  </si>
  <si>
    <t>ODAIR TORRES MASCENA</t>
  </si>
  <si>
    <t>RAFAEL JOSE CARRARO</t>
  </si>
  <si>
    <t>WELLINGTON CORDEIRO DE LIMA BARBOSA</t>
  </si>
  <si>
    <t>ADAILSON DOS SANTOS BOAVENTURA</t>
  </si>
  <si>
    <t>OBRAS</t>
  </si>
  <si>
    <t>LUCIO DIAS DOS SANTOS</t>
  </si>
  <si>
    <t>RAIMUNDO BARBOSA DE SOUZA</t>
  </si>
  <si>
    <t>RONALDO BATISTA DA SILVA</t>
  </si>
  <si>
    <t>ADELSON SILVA DOS SANTOS</t>
  </si>
  <si>
    <t>PINTURA</t>
  </si>
  <si>
    <t>DOMINGOS DOS SANTOS OLIVEIRA JUNIOR</t>
  </si>
  <si>
    <t>GILMAR DA ROCHA</t>
  </si>
  <si>
    <t>FABIO HIDEKI KIYOHASHI</t>
  </si>
  <si>
    <t>PLANEJAMENTO INDUSTRIAL</t>
  </si>
  <si>
    <t>RAFAEL WILLIAM CAMARGO</t>
  </si>
  <si>
    <t>THIAGO RAFAEL BE</t>
  </si>
  <si>
    <t>EDMILSON PEREIRA DA SILVA</t>
  </si>
  <si>
    <t>RECURSOS HUMANOS</t>
  </si>
  <si>
    <t xml:space="preserve">SARA DENISE AMORIM </t>
  </si>
  <si>
    <t>FILIPE PALMEZAN</t>
  </si>
  <si>
    <t>FRANCISCO LIRA DA SILVA</t>
  </si>
  <si>
    <t>LARISSA BATISTA TERRES</t>
  </si>
  <si>
    <t>LIANDERSON DOS SANTOS PENHA</t>
  </si>
  <si>
    <t>REGIANE RIBEIRO DE MENDONCA</t>
  </si>
  <si>
    <t>SARA DENISE AMORIM DA CONCEICAO</t>
  </si>
  <si>
    <t>ADINAN RICARDO MARTINS</t>
  </si>
  <si>
    <t>REFORMA</t>
  </si>
  <si>
    <t>LEONARDO GUIMARAES PEREIRA</t>
  </si>
  <si>
    <t>EDINALDO JOSE OLIVEIRA SILVA</t>
  </si>
  <si>
    <t>FABIO ALVES SIQUEIRA</t>
  </si>
  <si>
    <t>FRANCISCO VASCONCELOS PEREIRA</t>
  </si>
  <si>
    <t>MOIZES LUIS INOCENCIO</t>
  </si>
  <si>
    <t>WAGNER PICCIANO</t>
  </si>
  <si>
    <t>ALEXANDRE HENRIQUE ALVES DOS SANTOS</t>
  </si>
  <si>
    <t>TI</t>
  </si>
  <si>
    <t>HUDSON ROBERTO DOS SANTOS</t>
  </si>
  <si>
    <t>ALBERTO ZOMIGNAN</t>
  </si>
  <si>
    <t xml:space="preserve">USINAGEM </t>
  </si>
  <si>
    <t>PAULO RICARDO DA CONCEIÇÃO</t>
  </si>
  <si>
    <t>ANDERSON AUGUSTO SANTOS BELO</t>
  </si>
  <si>
    <t>ANTONIO CARLOS XAVIER DE SOUSA</t>
  </si>
  <si>
    <t>ANTONIO DE ALMEIDA</t>
  </si>
  <si>
    <t>CARLOS EDUARDO DA CONCEIÇÃO</t>
  </si>
  <si>
    <t>CLEBER DONIZETTI BARRETO</t>
  </si>
  <si>
    <t>CLEISON GONÇALVES PEREIRA</t>
  </si>
  <si>
    <t>FABIO DA COSTA RODRIGUES</t>
  </si>
  <si>
    <t>FABIO MARCOS MAIA VIEIRA</t>
  </si>
  <si>
    <t>FERNANDO GRACIANO ANDRE</t>
  </si>
  <si>
    <t>GILBERTO VICENTE</t>
  </si>
  <si>
    <t>ISAAC FERREIRA FILHO</t>
  </si>
  <si>
    <t>MATHEUS TERTULIANO MACEDO</t>
  </si>
  <si>
    <t>ORLANDO DA CONCEIÇÃO JUNIOR</t>
  </si>
  <si>
    <t>PATRICK FERNANDO DA SILVA</t>
  </si>
  <si>
    <t>RAFAEL SOUSA CAMARGO</t>
  </si>
  <si>
    <t>RENAN ROSSI</t>
  </si>
  <si>
    <t>RICARDO VANZELLA DOMINGUES</t>
  </si>
  <si>
    <t>RONALDO BRAGA BUDA</t>
  </si>
  <si>
    <t>CELSO GONÇALVES</t>
  </si>
  <si>
    <t>PORTARIA/RH</t>
  </si>
  <si>
    <t>Matrícula</t>
  </si>
  <si>
    <t>Período aquisitivo</t>
  </si>
  <si>
    <t>Data de início</t>
  </si>
  <si>
    <t>Dias de abono</t>
  </si>
  <si>
    <t>13º salário</t>
  </si>
  <si>
    <t>Destinatários emails:</t>
  </si>
  <si>
    <t>SIM</t>
  </si>
  <si>
    <t>NÃO</t>
  </si>
  <si>
    <t>NOME</t>
  </si>
  <si>
    <t>COLABORADOR:</t>
  </si>
  <si>
    <t>GESTOR:</t>
  </si>
  <si>
    <t>William Rosas</t>
  </si>
  <si>
    <t>DATA INÍCIO</t>
  </si>
  <si>
    <t>DIREITO</t>
  </si>
  <si>
    <t>DESCANSO</t>
  </si>
  <si>
    <t>ABONO</t>
  </si>
  <si>
    <t>13º</t>
  </si>
  <si>
    <t>Enviar o período</t>
  </si>
  <si>
    <t>Dias de direito</t>
  </si>
  <si>
    <t>Débito</t>
  </si>
  <si>
    <t>Saldo</t>
  </si>
  <si>
    <t>LÓGICA PARA SABER PERÍODO SELECIONADO</t>
  </si>
  <si>
    <t>Opção de Sim ou NÃO na lista suspensa do 13º.</t>
  </si>
  <si>
    <t>Conta se J6, K6 e L6 estão prenchidos</t>
  </si>
  <si>
    <t>Hoje</t>
  </si>
  <si>
    <t>PROGRAMADO PARA:</t>
  </si>
  <si>
    <t>OLÁ William Rosas. O QUE DESEJA EXECUTAR HOJE?</t>
  </si>
  <si>
    <t>LEGENDA</t>
  </si>
  <si>
    <t>larissa.terres@prensajundiai.com</t>
  </si>
  <si>
    <t>Filipi Passos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</si>
</sst>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_);_(* \(#,##0\);_(* &quot;-&quot;_);_(@_)"/>
    <numFmt numFmtId="165" formatCode="_(&quot;R$&quot;* #,##0.00_);_(&quot;R$&quot;* \(#,##0.00\);_(&quot;R$&quot;* &quot;-&quot;??_);_(@_)"/>
    <numFmt numFmtId="166" formatCode="_-&quot;R$&quot;* #,##0_-;\-&quot;R$&quot;* #,##0_-;_-&quot;R$&quot;* &quot;-&quot;_-;_-@_-"/>
    <numFmt numFmtId="167" formatCode="_-&quot;R$&quot;* #,##0.00_-;\-&quot;R$&quot;* #,##0.00_-;_-&quot;R$&quot;* &quot;-&quot;??_-;_-@_-"/>
    <numFmt numFmtId="168" formatCode="00"/>
    <numFmt numFmtId="169" formatCode="_(&quot;R$&quot;* #,##0_);_(&quot;R$&quot;* \(#,##0\);_(&quot;R$&quot;* &quot;-&quot;_);_(@_)"/>
    <numFmt numFmtId="170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b/>
      <sz val="20"/>
      <color theme="0"/>
      <name val="Calibri"/>
      <family val="2"/>
    </font>
    <font>
      <sz val="8"/>
      <color rgb="FF000000"/>
      <name val="Arial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9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</borders>
  <cellStyleXfs count="12">
    <xf numFmtId="0" fontId="0" fillId="0" borderId="0"/>
    <xf numFmtId="0" fontId="5" fillId="0" borderId="0" applyNumberFormat="0" applyFill="0" applyBorder="0" applyAlignment="0" applyProtection="0"/>
    <xf numFmtId="0" fontId="9" fillId="0" borderId="0" applyNumberFormat="0"/>
    <xf numFmtId="9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70" fontId="4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0" fontId="0" fillId="6" borderId="0" xfId="0" applyFill="1" applyProtection="1"/>
    <xf numFmtId="0" fontId="0" fillId="6" borderId="0" xfId="0" applyFill="1"/>
    <xf numFmtId="14" fontId="0" fillId="0" borderId="0" xfId="0" applyNumberFormat="1"/>
    <xf numFmtId="0" fontId="6" fillId="0" borderId="0" xfId="0" applyFont="1" applyProtection="1"/>
    <xf numFmtId="0" fontId="6" fillId="0" borderId="0" xfId="0" applyFont="1" applyProtection="1">
      <protection locked="0"/>
    </xf>
    <xf numFmtId="0" fontId="6" fillId="0" borderId="0" xfId="0" applyFont="1" applyAlignment="1" applyProtection="1"/>
    <xf numFmtId="0" fontId="6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6" fillId="0" borderId="0" xfId="0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right"/>
    </xf>
    <xf numFmtId="0" fontId="6" fillId="0" borderId="0" xfId="0" applyFont="1" applyBorder="1" applyProtection="1">
      <protection locked="0"/>
    </xf>
    <xf numFmtId="0" fontId="6" fillId="0" borderId="0" xfId="0" applyFont="1" applyAlignment="1" applyProtection="1">
      <alignment horizontal="right"/>
    </xf>
    <xf numFmtId="0" fontId="6" fillId="0" borderId="0" xfId="0" applyFont="1" applyAlignment="1" applyProtection="1">
      <alignment horizontal="left"/>
    </xf>
    <xf numFmtId="0" fontId="6" fillId="0" borderId="0" xfId="0" applyFont="1" applyBorder="1" applyAlignment="1" applyProtection="1">
      <alignment horizontal="center"/>
    </xf>
    <xf numFmtId="0" fontId="9" fillId="0" borderId="0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4" fontId="1" fillId="5" borderId="0" xfId="0" applyNumberFormat="1" applyFont="1" applyFill="1" applyAlignment="1" applyProtection="1">
      <alignment horizontal="center" vertical="center"/>
    </xf>
    <xf numFmtId="0" fontId="0" fillId="5" borderId="0" xfId="0" applyFill="1" applyAlignment="1" applyProtection="1">
      <alignment horizontal="center"/>
    </xf>
    <xf numFmtId="14" fontId="0" fillId="5" borderId="0" xfId="0" applyNumberFormat="1" applyFill="1" applyAlignment="1" applyProtection="1">
      <alignment horizontal="center"/>
    </xf>
    <xf numFmtId="0" fontId="0" fillId="5" borderId="0" xfId="0" applyFill="1" applyProtection="1"/>
    <xf numFmtId="14" fontId="1" fillId="5" borderId="0" xfId="0" applyNumberFormat="1" applyFont="1" applyFill="1" applyAlignment="1" applyProtection="1">
      <alignment vertical="center"/>
    </xf>
    <xf numFmtId="14" fontId="0" fillId="5" borderId="0" xfId="0" applyNumberFormat="1" applyFill="1" applyProtection="1"/>
    <xf numFmtId="14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</xf>
    <xf numFmtId="14" fontId="0" fillId="5" borderId="1" xfId="0" applyNumberFormat="1" applyFill="1" applyBorder="1" applyAlignment="1" applyProtection="1">
      <alignment horizontal="center"/>
    </xf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center"/>
    </xf>
    <xf numFmtId="2" fontId="0" fillId="5" borderId="1" xfId="0" applyNumberFormat="1" applyFill="1" applyBorder="1" applyAlignment="1" applyProtection="1">
      <alignment horizontal="center"/>
    </xf>
    <xf numFmtId="14" fontId="0" fillId="5" borderId="1" xfId="0" applyNumberFormat="1" applyFill="1" applyBorder="1" applyProtection="1"/>
    <xf numFmtId="0" fontId="0" fillId="10" borderId="0" xfId="0" applyFill="1"/>
    <xf numFmtId="0" fontId="1" fillId="3" borderId="19" xfId="0" applyFont="1" applyFill="1" applyBorder="1" applyAlignment="1" applyProtection="1">
      <alignment horizontal="center" vertical="center" wrapText="1"/>
    </xf>
    <xf numFmtId="0" fontId="1" fillId="3" borderId="18" xfId="0" applyFont="1" applyFill="1" applyBorder="1" applyAlignment="1" applyProtection="1">
      <alignment horizontal="center" vertical="center" wrapText="1"/>
    </xf>
    <xf numFmtId="0" fontId="6" fillId="0" borderId="1" xfId="0" applyFont="1" applyBorder="1" applyProtection="1">
      <protection locked="0"/>
    </xf>
    <xf numFmtId="0" fontId="6" fillId="0" borderId="1" xfId="0" applyFont="1" applyBorder="1" applyAlignment="1" applyProtection="1">
      <alignment horizontal="right"/>
      <protection locked="0"/>
    </xf>
    <xf numFmtId="2" fontId="6" fillId="0" borderId="1" xfId="0" applyNumberFormat="1" applyFont="1" applyBorder="1" applyProtection="1">
      <protection locked="0"/>
    </xf>
    <xf numFmtId="14" fontId="0" fillId="4" borderId="1" xfId="0" applyNumberFormat="1" applyFill="1" applyBorder="1" applyAlignment="1" applyProtection="1">
      <alignment horizontal="center"/>
      <protection locked="0"/>
    </xf>
    <xf numFmtId="1" fontId="0" fillId="4" borderId="1" xfId="0" applyNumberFormat="1" applyFill="1" applyBorder="1" applyAlignment="1" applyProtection="1">
      <alignment horizontal="center"/>
      <protection locked="0"/>
    </xf>
    <xf numFmtId="14" fontId="6" fillId="0" borderId="1" xfId="0" applyNumberFormat="1" applyFont="1" applyBorder="1" applyProtection="1">
      <protection locked="0"/>
    </xf>
    <xf numFmtId="0" fontId="0" fillId="6" borderId="1" xfId="0" applyFill="1" applyBorder="1"/>
    <xf numFmtId="0" fontId="15" fillId="6" borderId="1" xfId="0" applyFont="1" applyFill="1" applyBorder="1" applyAlignment="1">
      <alignment wrapText="1"/>
    </xf>
    <xf numFmtId="0" fontId="10" fillId="7" borderId="12" xfId="2" applyFont="1" applyFill="1" applyBorder="1" applyAlignment="1" applyProtection="1">
      <alignment vertical="center"/>
    </xf>
    <xf numFmtId="0" fontId="10" fillId="7" borderId="13" xfId="2" applyFont="1" applyFill="1" applyBorder="1" applyAlignment="1" applyProtection="1">
      <alignment vertical="center"/>
    </xf>
    <xf numFmtId="2" fontId="10" fillId="7" borderId="13" xfId="2" applyNumberFormat="1" applyFont="1" applyFill="1" applyBorder="1" applyAlignment="1" applyProtection="1">
      <alignment horizontal="center" vertical="center"/>
    </xf>
    <xf numFmtId="0" fontId="10" fillId="7" borderId="13" xfId="2" applyFont="1" applyFill="1" applyBorder="1" applyAlignment="1" applyProtection="1">
      <alignment horizontal="center" vertical="center"/>
    </xf>
    <xf numFmtId="0" fontId="10" fillId="7" borderId="14" xfId="2" applyFont="1" applyFill="1" applyBorder="1" applyAlignment="1" applyProtection="1">
      <alignment vertical="center"/>
    </xf>
    <xf numFmtId="14" fontId="16" fillId="7" borderId="14" xfId="2" applyNumberFormat="1" applyFont="1" applyFill="1" applyBorder="1" applyAlignment="1" applyProtection="1">
      <alignment horizontal="center" vertical="center"/>
    </xf>
    <xf numFmtId="0" fontId="10" fillId="7" borderId="15" xfId="2" applyFont="1" applyFill="1" applyBorder="1" applyAlignment="1" applyProtection="1">
      <alignment vertical="center"/>
    </xf>
    <xf numFmtId="0" fontId="10" fillId="7" borderId="16" xfId="2" applyFont="1" applyFill="1" applyBorder="1" applyAlignment="1" applyProtection="1">
      <alignment vertical="center"/>
    </xf>
    <xf numFmtId="2" fontId="10" fillId="7" borderId="16" xfId="2" applyNumberFormat="1" applyFont="1" applyFill="1" applyBorder="1" applyAlignment="1" applyProtection="1">
      <alignment horizontal="center" vertical="center"/>
    </xf>
    <xf numFmtId="0" fontId="10" fillId="7" borderId="16" xfId="2" applyFont="1" applyFill="1" applyBorder="1" applyAlignment="1" applyProtection="1">
      <alignment horizontal="center" vertical="center"/>
    </xf>
    <xf numFmtId="0" fontId="10" fillId="7" borderId="17" xfId="2" applyFont="1" applyFill="1" applyBorder="1" applyAlignment="1" applyProtection="1">
      <alignment vertical="center"/>
    </xf>
    <xf numFmtId="14" fontId="16" fillId="7" borderId="17" xfId="2" applyNumberFormat="1" applyFont="1" applyFill="1" applyBorder="1" applyAlignment="1" applyProtection="1">
      <alignment horizontal="center" vertical="center"/>
    </xf>
    <xf numFmtId="2" fontId="3" fillId="8" borderId="8" xfId="1" applyNumberFormat="1" applyFont="1" applyFill="1" applyBorder="1" applyAlignment="1" applyProtection="1">
      <alignment horizontal="center" vertical="center" wrapText="1"/>
    </xf>
    <xf numFmtId="0" fontId="3" fillId="8" borderId="8" xfId="1" applyFont="1" applyFill="1" applyBorder="1" applyAlignment="1" applyProtection="1">
      <alignment horizontal="center" vertical="center" wrapText="1"/>
    </xf>
    <xf numFmtId="14" fontId="3" fillId="8" borderId="8" xfId="1" applyNumberFormat="1" applyFont="1" applyFill="1" applyBorder="1" applyAlignment="1" applyProtection="1">
      <alignment horizontal="center" vertical="center" wrapText="1"/>
    </xf>
    <xf numFmtId="0" fontId="11" fillId="9" borderId="8" xfId="1" applyFont="1" applyFill="1" applyBorder="1" applyAlignment="1" applyProtection="1">
      <alignment horizontal="left"/>
    </xf>
    <xf numFmtId="0" fontId="11" fillId="9" borderId="8" xfId="3" applyNumberFormat="1" applyFont="1" applyFill="1" applyBorder="1" applyAlignment="1" applyProtection="1">
      <alignment horizontal="center"/>
    </xf>
    <xf numFmtId="14" fontId="11" fillId="9" borderId="8" xfId="4" applyNumberFormat="1" applyFont="1" applyFill="1" applyBorder="1" applyAlignment="1" applyProtection="1">
      <alignment horizontal="left"/>
    </xf>
    <xf numFmtId="2" fontId="11" fillId="9" borderId="8" xfId="5" applyNumberFormat="1" applyFont="1" applyFill="1" applyBorder="1" applyAlignment="1" applyProtection="1">
      <alignment horizontal="center"/>
    </xf>
    <xf numFmtId="168" fontId="11" fillId="9" borderId="8" xfId="6" applyNumberFormat="1" applyFont="1" applyFill="1" applyBorder="1" applyAlignment="1" applyProtection="1">
      <alignment horizontal="center"/>
    </xf>
    <xf numFmtId="14" fontId="11" fillId="9" borderId="8" xfId="1" applyNumberFormat="1" applyFont="1" applyFill="1" applyBorder="1" applyAlignment="1" applyProtection="1">
      <alignment horizontal="left"/>
    </xf>
    <xf numFmtId="0" fontId="9" fillId="0" borderId="0" xfId="2" applyProtection="1"/>
    <xf numFmtId="0" fontId="9" fillId="0" borderId="0" xfId="2" applyAlignment="1" applyProtection="1">
      <alignment horizontal="center"/>
    </xf>
    <xf numFmtId="2" fontId="9" fillId="0" borderId="0" xfId="2" applyNumberFormat="1" applyAlignment="1" applyProtection="1">
      <alignment horizontal="center"/>
    </xf>
    <xf numFmtId="14" fontId="9" fillId="0" borderId="0" xfId="2" applyNumberFormat="1" applyProtection="1"/>
    <xf numFmtId="0" fontId="12" fillId="4" borderId="0" xfId="8" applyFill="1" applyAlignment="1" applyProtection="1">
      <alignment vertical="center"/>
      <protection locked="0"/>
    </xf>
    <xf numFmtId="0" fontId="0" fillId="10" borderId="0" xfId="0" applyFill="1" applyProtection="1">
      <protection locked="0"/>
    </xf>
    <xf numFmtId="0" fontId="0" fillId="10" borderId="0" xfId="0" applyFill="1" applyAlignment="1" applyProtection="1">
      <alignment horizontal="right" vertical="center"/>
      <protection locked="0"/>
    </xf>
    <xf numFmtId="0" fontId="2" fillId="6" borderId="0" xfId="0" applyFont="1" applyFill="1" applyAlignment="1" applyProtection="1">
      <alignment vertical="center"/>
    </xf>
    <xf numFmtId="0" fontId="0" fillId="0" borderId="0" xfId="0" applyFill="1"/>
    <xf numFmtId="0" fontId="3" fillId="8" borderId="8" xfId="1" applyFont="1" applyFill="1" applyBorder="1" applyAlignment="1" applyProtection="1">
      <alignment horizontal="center" vertical="center"/>
    </xf>
    <xf numFmtId="0" fontId="1" fillId="3" borderId="9" xfId="0" applyFont="1" applyFill="1" applyBorder="1" applyAlignment="1" applyProtection="1">
      <alignment horizontal="center" vertical="center" wrapText="1"/>
    </xf>
    <xf numFmtId="0" fontId="1" fillId="3" borderId="10" xfId="0" applyFont="1" applyFill="1" applyBorder="1" applyAlignment="1" applyProtection="1">
      <alignment horizontal="center" vertical="center" wrapText="1"/>
    </xf>
    <xf numFmtId="0" fontId="1" fillId="3" borderId="11" xfId="0" applyFont="1" applyFill="1" applyBorder="1" applyAlignment="1" applyProtection="1">
      <alignment horizontal="center" vertical="center" wrapText="1"/>
    </xf>
    <xf numFmtId="0" fontId="14" fillId="2" borderId="0" xfId="0" applyFont="1" applyFill="1" applyBorder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3" fillId="8" borderId="8" xfId="1" applyFont="1" applyFill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wrapText="1"/>
      <protection locked="0"/>
    </xf>
    <xf numFmtId="0" fontId="6" fillId="0" borderId="7" xfId="0" applyFont="1" applyBorder="1" applyAlignment="1" applyProtection="1">
      <alignment horizontal="center"/>
    </xf>
    <xf numFmtId="0" fontId="8" fillId="0" borderId="0" xfId="0" applyFont="1" applyAlignment="1" applyProtection="1">
      <alignment horizontal="right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0" xfId="0" applyFont="1" applyAlignment="1" applyProtection="1">
      <alignment horizontal="right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right"/>
      <protection locked="0"/>
    </xf>
    <xf numFmtId="2" fontId="6" fillId="0" borderId="4" xfId="0" applyNumberFormat="1" applyFont="1" applyBorder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4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center"/>
    </xf>
    <xf numFmtId="0" fontId="6" fillId="0" borderId="6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0" fontId="6" fillId="0" borderId="0" xfId="0" applyFont="1" applyAlignment="1" applyProtection="1">
      <alignment horizontal="left"/>
    </xf>
    <xf numFmtId="0" fontId="6" fillId="0" borderId="0" xfId="0" applyFont="1" applyAlignment="1" applyProtection="1"/>
    <xf numFmtId="14" fontId="6" fillId="0" borderId="2" xfId="0" applyNumberFormat="1" applyFont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6" fillId="0" borderId="2" xfId="0" applyFont="1" applyBorder="1" applyAlignment="1" applyProtection="1">
      <alignment horizontal="left"/>
    </xf>
  </cellXfs>
  <cellStyles count="12">
    <cellStyle name="Hiperlink" xfId="8" builtinId="8"/>
    <cellStyle name="Moeda [0] 2" xfId="4"/>
    <cellStyle name="Moeda [0] 3" xfId="9"/>
    <cellStyle name="Moeda 2" xfId="5"/>
    <cellStyle name="Moeda 3" xfId="7"/>
    <cellStyle name="Normal" xfId="0" builtinId="0"/>
    <cellStyle name="Normal 2" xfId="2"/>
    <cellStyle name="Porcentagem 2" xfId="3"/>
    <cellStyle name="Separador de milhares [0] 2" xfId="6"/>
    <cellStyle name="Separador de milhares [0] 3" xfId="10"/>
    <cellStyle name="Título" xfId="1" builtinId="15"/>
    <cellStyle name="Vírgula 2" xfId="11"/>
  </cellStyles>
  <dxfs count="19">
    <dxf>
      <font>
        <color auto="1"/>
      </font>
      <fill>
        <patternFill>
          <bgColor theme="7" tint="0.79998168889431442"/>
        </patternFill>
      </fill>
    </dxf>
    <dxf>
      <font>
        <color theme="9"/>
      </font>
      <fill>
        <patternFill>
          <bgColor theme="2"/>
        </patternFill>
      </fill>
    </dxf>
    <dxf>
      <font>
        <color theme="1"/>
      </font>
      <fill>
        <patternFill>
          <bgColor theme="2"/>
        </patternFill>
      </fill>
    </dxf>
    <dxf>
      <font>
        <color rgb="FF7030A0"/>
      </font>
      <fill>
        <patternFill>
          <bgColor theme="1" tint="0.499984740745262"/>
        </patternFill>
      </fill>
    </dxf>
    <dxf>
      <font>
        <color rgb="FFFF0000"/>
      </font>
      <fill>
        <patternFill>
          <bgColor theme="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9"/>
      </font>
      <fill>
        <patternFill>
          <bgColor theme="2"/>
        </patternFill>
      </fill>
    </dxf>
    <dxf>
      <font>
        <color theme="1"/>
      </font>
      <fill>
        <patternFill>
          <bgColor theme="2"/>
        </patternFill>
      </fill>
    </dxf>
    <dxf>
      <font>
        <color rgb="FF7030A0"/>
      </font>
      <fill>
        <patternFill>
          <bgColor theme="1" tint="0.499984740745262"/>
        </patternFill>
      </fill>
    </dxf>
    <dxf>
      <font>
        <color rgb="FFFF0000"/>
      </font>
      <fill>
        <patternFill>
          <bgColor theme="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9"/>
      </font>
      <fill>
        <patternFill>
          <bgColor theme="2"/>
        </patternFill>
      </fill>
    </dxf>
    <dxf>
      <font>
        <color theme="1"/>
      </font>
      <fill>
        <patternFill>
          <bgColor theme="2"/>
        </patternFill>
      </fill>
    </dxf>
    <dxf>
      <font>
        <color rgb="FF7030A0"/>
      </font>
      <fill>
        <patternFill>
          <bgColor theme="1" tint="0.499984740745262"/>
        </patternFill>
      </fill>
    </dxf>
    <dxf>
      <font>
        <color rgb="FFFF0000"/>
      </font>
      <fill>
        <patternFill>
          <bgColor theme="2"/>
        </patternFill>
      </fill>
    </dxf>
    <dxf>
      <font>
        <color theme="9"/>
      </font>
      <fill>
        <patternFill>
          <bgColor theme="2"/>
        </patternFill>
      </fill>
    </dxf>
    <dxf>
      <font>
        <color theme="1"/>
      </font>
      <fill>
        <patternFill>
          <bgColor theme="2"/>
        </patternFill>
      </fill>
    </dxf>
    <dxf>
      <font>
        <color rgb="FF7030A0"/>
      </font>
      <fill>
        <patternFill>
          <bgColor theme="1" tint="0.499984740745262"/>
        </patternFill>
      </fill>
    </dxf>
    <dxf>
      <font>
        <color rgb="FFFF0000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FO!$AA$13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9525</xdr:rowOff>
    </xdr:from>
    <xdr:to>
      <xdr:col>7</xdr:col>
      <xdr:colOff>581025</xdr:colOff>
      <xdr:row>11</xdr:row>
      <xdr:rowOff>142875</xdr:rowOff>
    </xdr:to>
    <xdr:sp macro="[0]!TelaSolicitar" textlink="">
      <xdr:nvSpPr>
        <xdr:cNvPr id="2" name="Retângulo Arredondado 1"/>
        <xdr:cNvSpPr/>
      </xdr:nvSpPr>
      <xdr:spPr>
        <a:xfrm>
          <a:off x="2438400" y="1295400"/>
          <a:ext cx="2409825" cy="1085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SOLICITAR FÉRIAS</a:t>
          </a:r>
        </a:p>
      </xdr:txBody>
    </xdr:sp>
    <xdr:clientData/>
  </xdr:twoCellAnchor>
  <xdr:twoCellAnchor>
    <xdr:from>
      <xdr:col>12</xdr:col>
      <xdr:colOff>38100</xdr:colOff>
      <xdr:row>6</xdr:row>
      <xdr:rowOff>28575</xdr:rowOff>
    </xdr:from>
    <xdr:to>
      <xdr:col>16</xdr:col>
      <xdr:colOff>9525</xdr:colOff>
      <xdr:row>11</xdr:row>
      <xdr:rowOff>161925</xdr:rowOff>
    </xdr:to>
    <xdr:sp macro="[0]!SenhaRH" textlink="">
      <xdr:nvSpPr>
        <xdr:cNvPr id="3" name="Retângulo Arredondado 2"/>
        <xdr:cNvSpPr/>
      </xdr:nvSpPr>
      <xdr:spPr>
        <a:xfrm>
          <a:off x="7353300" y="1314450"/>
          <a:ext cx="2409825" cy="108585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GERENCIAR </a:t>
          </a:r>
        </a:p>
        <a:p>
          <a:pPr algn="ctr"/>
          <a:r>
            <a:rPr lang="pt-BR" sz="1600" b="1"/>
            <a:t>(USO EXCLUSIVO DO RH)</a:t>
          </a:r>
        </a:p>
      </xdr:txBody>
    </xdr:sp>
    <xdr:clientData/>
  </xdr:twoCellAnchor>
  <xdr:twoCellAnchor>
    <xdr:from>
      <xdr:col>2</xdr:col>
      <xdr:colOff>552450</xdr:colOff>
      <xdr:row>0</xdr:row>
      <xdr:rowOff>171450</xdr:rowOff>
    </xdr:from>
    <xdr:to>
      <xdr:col>17</xdr:col>
      <xdr:colOff>600075</xdr:colOff>
      <xdr:row>2</xdr:row>
      <xdr:rowOff>57150</xdr:rowOff>
    </xdr:to>
    <xdr:sp macro="" textlink="">
      <xdr:nvSpPr>
        <xdr:cNvPr id="4" name="Retângulo Arredondado 3"/>
        <xdr:cNvSpPr/>
      </xdr:nvSpPr>
      <xdr:spPr>
        <a:xfrm>
          <a:off x="1771650" y="171450"/>
          <a:ext cx="9191625" cy="409575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95250</xdr:rowOff>
        </xdr:from>
        <xdr:to>
          <xdr:col>2</xdr:col>
          <xdr:colOff>161925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2860" rIns="27432" bIns="22860" anchor="ctr" upright="1"/>
            <a:lstStyle/>
            <a:p>
              <a:pPr algn="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ARQUIVO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239183</xdr:colOff>
      <xdr:row>0</xdr:row>
      <xdr:rowOff>164042</xdr:rowOff>
    </xdr:from>
    <xdr:to>
      <xdr:col>0</xdr:col>
      <xdr:colOff>419100</xdr:colOff>
      <xdr:row>1</xdr:row>
      <xdr:rowOff>155694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94" r="23871"/>
        <a:stretch/>
      </xdr:blipFill>
      <xdr:spPr>
        <a:xfrm>
          <a:off x="239183" y="164042"/>
          <a:ext cx="179917" cy="182152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209550</xdr:colOff>
      <xdr:row>12</xdr:row>
      <xdr:rowOff>171450</xdr:rowOff>
    </xdr:from>
    <xdr:to>
      <xdr:col>15</xdr:col>
      <xdr:colOff>323849</xdr:colOff>
      <xdr:row>16</xdr:row>
      <xdr:rowOff>123825</xdr:rowOff>
    </xdr:to>
    <xdr:sp macro="" textlink="">
      <xdr:nvSpPr>
        <xdr:cNvPr id="5" name="Retângulo Arredondado 4"/>
        <xdr:cNvSpPr/>
      </xdr:nvSpPr>
      <xdr:spPr>
        <a:xfrm>
          <a:off x="3257550" y="2600325"/>
          <a:ext cx="6210299" cy="7143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solidFill>
                <a:srgbClr val="FF0000"/>
              </a:solidFill>
            </a:rPr>
            <a:t>ATENÇÃO! ARQUIVO SOMENTE LEITURA.</a:t>
          </a:r>
          <a:r>
            <a:rPr lang="pt-BR" sz="1600" baseline="0">
              <a:solidFill>
                <a:srgbClr val="FF0000"/>
              </a:solidFill>
            </a:rPr>
            <a:t> MAS</a:t>
          </a:r>
          <a:r>
            <a:rPr lang="pt-BR" sz="1600">
              <a:solidFill>
                <a:srgbClr val="FF0000"/>
              </a:solidFill>
            </a:rPr>
            <a:t> FUNÇÃO "SOLICITAR FÉRIAS" FUNCIONA NORMALMENTE.</a:t>
          </a:r>
        </a:p>
      </xdr:txBody>
    </xdr:sp>
    <xdr:clientData/>
  </xdr:twoCellAnchor>
  <xdr:twoCellAnchor>
    <xdr:from>
      <xdr:col>5</xdr:col>
      <xdr:colOff>133350</xdr:colOff>
      <xdr:row>12</xdr:row>
      <xdr:rowOff>95250</xdr:rowOff>
    </xdr:from>
    <xdr:to>
      <xdr:col>15</xdr:col>
      <xdr:colOff>428625</xdr:colOff>
      <xdr:row>17</xdr:row>
      <xdr:rowOff>9525</xdr:rowOff>
    </xdr:to>
    <xdr:sp macro="" textlink="">
      <xdr:nvSpPr>
        <xdr:cNvPr id="6" name="Retângulo Arredondado 5"/>
        <xdr:cNvSpPr/>
      </xdr:nvSpPr>
      <xdr:spPr>
        <a:xfrm>
          <a:off x="3181350" y="2524125"/>
          <a:ext cx="6391275" cy="86677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0</xdr:row>
      <xdr:rowOff>47627</xdr:rowOff>
    </xdr:from>
    <xdr:to>
      <xdr:col>10</xdr:col>
      <xdr:colOff>428625</xdr:colOff>
      <xdr:row>0</xdr:row>
      <xdr:rowOff>438150</xdr:rowOff>
    </xdr:to>
    <xdr:sp macro="" textlink="">
      <xdr:nvSpPr>
        <xdr:cNvPr id="3" name="Retângulo Arredondado 2"/>
        <xdr:cNvSpPr/>
      </xdr:nvSpPr>
      <xdr:spPr>
        <a:xfrm>
          <a:off x="7105650" y="47627"/>
          <a:ext cx="2028825" cy="390523"/>
        </a:xfrm>
        <a:prstGeom prst="roundRect">
          <a:avLst/>
        </a:prstGeom>
        <a:solidFill>
          <a:schemeClr val="accent4"/>
        </a:solidFill>
        <a:ln>
          <a:solidFill>
            <a:schemeClr val="tx2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100">
              <a:solidFill>
                <a:schemeClr val="bg2"/>
              </a:solidFill>
            </a:rPr>
            <a:t>ARQUIVO SOMENTE LEITURA.</a:t>
          </a:r>
        </a:p>
        <a:p>
          <a:pPr algn="ctr"/>
          <a:endParaRPr lang="pt-BR" sz="1100">
            <a:solidFill>
              <a:schemeClr val="bg2"/>
            </a:solidFill>
          </a:endParaRPr>
        </a:p>
        <a:p>
          <a:pPr algn="ctr"/>
          <a:r>
            <a:rPr lang="pt-BR" sz="1100">
              <a:solidFill>
                <a:schemeClr val="bg2"/>
              </a:solidFill>
            </a:rPr>
            <a:t>COMANDO </a:t>
          </a:r>
          <a:r>
            <a:rPr lang="pt-BR" sz="1100" baseline="0">
              <a:solidFill>
                <a:schemeClr val="bg2"/>
              </a:solidFill>
            </a:rPr>
            <a:t> DESLIGADO</a:t>
          </a:r>
          <a:endParaRPr lang="pt-BR" sz="1100">
            <a:solidFill>
              <a:schemeClr val="bg2"/>
            </a:solidFill>
          </a:endParaRPr>
        </a:p>
      </xdr:txBody>
    </xdr:sp>
    <xdr:clientData/>
  </xdr:twoCellAnchor>
  <xdr:twoCellAnchor editAs="absolute">
    <xdr:from>
      <xdr:col>8</xdr:col>
      <xdr:colOff>47624</xdr:colOff>
      <xdr:row>0</xdr:row>
      <xdr:rowOff>85725</xdr:rowOff>
    </xdr:from>
    <xdr:to>
      <xdr:col>9</xdr:col>
      <xdr:colOff>438149</xdr:colOff>
      <xdr:row>0</xdr:row>
      <xdr:rowOff>381000</xdr:rowOff>
    </xdr:to>
    <xdr:sp macro="[0]!EnviaEmail" textlink="">
      <xdr:nvSpPr>
        <xdr:cNvPr id="7" name="Retângulo Arredondado 6"/>
        <xdr:cNvSpPr/>
      </xdr:nvSpPr>
      <xdr:spPr>
        <a:xfrm>
          <a:off x="7181849" y="85725"/>
          <a:ext cx="923925" cy="295275"/>
        </a:xfrm>
        <a:prstGeom prst="roundRect">
          <a:avLst/>
        </a:prstGeom>
        <a:solidFill>
          <a:schemeClr val="accent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</a:p>
      </xdr:txBody>
    </xdr:sp>
    <xdr:clientData fPrintsWithSheet="0"/>
  </xdr:twoCellAnchor>
  <xdr:twoCellAnchor editAs="absolute">
    <xdr:from>
      <xdr:col>9</xdr:col>
      <xdr:colOff>466726</xdr:colOff>
      <xdr:row>0</xdr:row>
      <xdr:rowOff>85726</xdr:rowOff>
    </xdr:from>
    <xdr:to>
      <xdr:col>10</xdr:col>
      <xdr:colOff>361951</xdr:colOff>
      <xdr:row>0</xdr:row>
      <xdr:rowOff>371476</xdr:rowOff>
    </xdr:to>
    <xdr:sp macro="[0]!limpar" textlink="">
      <xdr:nvSpPr>
        <xdr:cNvPr id="9" name="Retângulo Arredondado 8"/>
        <xdr:cNvSpPr/>
      </xdr:nvSpPr>
      <xdr:spPr>
        <a:xfrm>
          <a:off x="8134351" y="85726"/>
          <a:ext cx="933450" cy="28575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590550</xdr:colOff>
          <xdr:row>0</xdr:row>
          <xdr:rowOff>76200</xdr:rowOff>
        </xdr:from>
        <xdr:to>
          <xdr:col>12</xdr:col>
          <xdr:colOff>542925</xdr:colOff>
          <xdr:row>0</xdr:row>
          <xdr:rowOff>381000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22860" rIns="27432" bIns="22860" anchor="ctr" upright="1"/>
            <a:lstStyle/>
            <a:p>
              <a:pPr algn="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ARQUIVO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629708</xdr:colOff>
      <xdr:row>0</xdr:row>
      <xdr:rowOff>144992</xdr:rowOff>
    </xdr:from>
    <xdr:to>
      <xdr:col>11</xdr:col>
      <xdr:colOff>142875</xdr:colOff>
      <xdr:row>0</xdr:row>
      <xdr:rowOff>327144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94" r="23871"/>
        <a:stretch/>
      </xdr:blipFill>
      <xdr:spPr>
        <a:xfrm>
          <a:off x="9335558" y="144992"/>
          <a:ext cx="179917" cy="182152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219076</xdr:colOff>
      <xdr:row>2</xdr:row>
      <xdr:rowOff>19050</xdr:rowOff>
    </xdr:from>
    <xdr:to>
      <xdr:col>4</xdr:col>
      <xdr:colOff>9526</xdr:colOff>
      <xdr:row>2</xdr:row>
      <xdr:rowOff>314325</xdr:rowOff>
    </xdr:to>
    <xdr:sp macro="[0]!selecionado" textlink="">
      <xdr:nvSpPr>
        <xdr:cNvPr id="8" name="Retângulo Arredondado 7"/>
        <xdr:cNvSpPr/>
      </xdr:nvSpPr>
      <xdr:spPr>
        <a:xfrm>
          <a:off x="4305301" y="876300"/>
          <a:ext cx="609600" cy="295275"/>
        </a:xfrm>
        <a:prstGeom prst="round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4</xdr:row>
          <xdr:rowOff>533400</xdr:rowOff>
        </xdr:from>
        <xdr:to>
          <xdr:col>12</xdr:col>
          <xdr:colOff>466725</xdr:colOff>
          <xdr:row>5</xdr:row>
          <xdr:rowOff>180975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5</xdr:row>
          <xdr:rowOff>190500</xdr:rowOff>
        </xdr:from>
        <xdr:to>
          <xdr:col>12</xdr:col>
          <xdr:colOff>466725</xdr:colOff>
          <xdr:row>6</xdr:row>
          <xdr:rowOff>171450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1762125</xdr:colOff>
      <xdr:row>0</xdr:row>
      <xdr:rowOff>38100</xdr:rowOff>
    </xdr:from>
    <xdr:to>
      <xdr:col>8</xdr:col>
      <xdr:colOff>171449</xdr:colOff>
      <xdr:row>1</xdr:row>
      <xdr:rowOff>295275</xdr:rowOff>
    </xdr:to>
    <xdr:sp macro="" textlink="">
      <xdr:nvSpPr>
        <xdr:cNvPr id="9" name="Retângulo Arredondado 8"/>
        <xdr:cNvSpPr/>
      </xdr:nvSpPr>
      <xdr:spPr>
        <a:xfrm>
          <a:off x="5000625" y="38100"/>
          <a:ext cx="3543299" cy="581025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 editAs="absolute">
    <xdr:from>
      <xdr:col>6</xdr:col>
      <xdr:colOff>409575</xdr:colOff>
      <xdr:row>0</xdr:row>
      <xdr:rowOff>47625</xdr:rowOff>
    </xdr:from>
    <xdr:to>
      <xdr:col>8</xdr:col>
      <xdr:colOff>161925</xdr:colOff>
      <xdr:row>1</xdr:row>
      <xdr:rowOff>238125</xdr:rowOff>
    </xdr:to>
    <xdr:sp macro="[0]!programar" textlink="">
      <xdr:nvSpPr>
        <xdr:cNvPr id="3" name="Retângulo Arredondado 2"/>
        <xdr:cNvSpPr/>
      </xdr:nvSpPr>
      <xdr:spPr>
        <a:xfrm>
          <a:off x="7496175" y="47625"/>
          <a:ext cx="1038225" cy="514350"/>
        </a:xfrm>
        <a:prstGeom prst="round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PROGRAMAR FÉRIAS</a:t>
          </a:r>
        </a:p>
      </xdr:txBody>
    </xdr:sp>
    <xdr:clientData fPrintsWithSheet="0"/>
  </xdr:twoCellAnchor>
  <xdr:twoCellAnchor editAs="absolute">
    <xdr:from>
      <xdr:col>4</xdr:col>
      <xdr:colOff>19050</xdr:colOff>
      <xdr:row>0</xdr:row>
      <xdr:rowOff>47624</xdr:rowOff>
    </xdr:from>
    <xdr:to>
      <xdr:col>6</xdr:col>
      <xdr:colOff>352426</xdr:colOff>
      <xdr:row>1</xdr:row>
      <xdr:rowOff>247649</xdr:rowOff>
    </xdr:to>
    <xdr:sp macro="[0]!InserirNovo" textlink="">
      <xdr:nvSpPr>
        <xdr:cNvPr id="4" name="Retângulo Arredondado 3"/>
        <xdr:cNvSpPr/>
      </xdr:nvSpPr>
      <xdr:spPr>
        <a:xfrm>
          <a:off x="6267450" y="47624"/>
          <a:ext cx="1171576" cy="523875"/>
        </a:xfrm>
        <a:prstGeom prst="roundRect">
          <a:avLst/>
        </a:prstGeom>
        <a:solidFill>
          <a:schemeClr val="accent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</a:t>
          </a:r>
          <a:r>
            <a:rPr lang="pt-BR" sz="1100"/>
            <a:t>NOVO COLABORADOR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66675</xdr:colOff>
          <xdr:row>0</xdr:row>
          <xdr:rowOff>161925</xdr:rowOff>
        </xdr:from>
        <xdr:to>
          <xdr:col>11</xdr:col>
          <xdr:colOff>571500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</a:t>
              </a:r>
            </a:p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     TELA INICIAL</a:t>
              </a: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124883</xdr:colOff>
      <xdr:row>0</xdr:row>
      <xdr:rowOff>240242</xdr:rowOff>
    </xdr:from>
    <xdr:to>
      <xdr:col>10</xdr:col>
      <xdr:colOff>304800</xdr:colOff>
      <xdr:row>1</xdr:row>
      <xdr:rowOff>98544</xdr:rowOff>
    </xdr:to>
    <xdr:pic>
      <xdr:nvPicPr>
        <xdr:cNvPr id="5" name="Imagem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94" r="23871"/>
        <a:stretch/>
      </xdr:blipFill>
      <xdr:spPr>
        <a:xfrm>
          <a:off x="9716558" y="240242"/>
          <a:ext cx="179917" cy="182152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190500</xdr:colOff>
      <xdr:row>0</xdr:row>
      <xdr:rowOff>285750</xdr:rowOff>
    </xdr:from>
    <xdr:to>
      <xdr:col>10</xdr:col>
      <xdr:colOff>9525</xdr:colOff>
      <xdr:row>1</xdr:row>
      <xdr:rowOff>238125</xdr:rowOff>
    </xdr:to>
    <xdr:sp macro="[0]!VerTodos" textlink="">
      <xdr:nvSpPr>
        <xdr:cNvPr id="6" name="Retângulo Arredondado 5"/>
        <xdr:cNvSpPr/>
      </xdr:nvSpPr>
      <xdr:spPr>
        <a:xfrm>
          <a:off x="8562975" y="285750"/>
          <a:ext cx="1038225" cy="276225"/>
        </a:xfrm>
        <a:prstGeom prst="round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VER TODOS</a:t>
          </a:r>
        </a:p>
      </xdr:txBody>
    </xdr:sp>
    <xdr:clientData fPrintsWithSheet="0"/>
  </xdr:twoCellAnchor>
  <xdr:twoCellAnchor editAs="absolute">
    <xdr:from>
      <xdr:col>2</xdr:col>
      <xdr:colOff>1800225</xdr:colOff>
      <xdr:row>0</xdr:row>
      <xdr:rowOff>57150</xdr:rowOff>
    </xdr:from>
    <xdr:to>
      <xdr:col>3</xdr:col>
      <xdr:colOff>714376</xdr:colOff>
      <xdr:row>1</xdr:row>
      <xdr:rowOff>257175</xdr:rowOff>
    </xdr:to>
    <xdr:sp macro="[0]!DeletarColab" textlink="">
      <xdr:nvSpPr>
        <xdr:cNvPr id="7" name="Retângulo Arredondado 6"/>
        <xdr:cNvSpPr/>
      </xdr:nvSpPr>
      <xdr:spPr>
        <a:xfrm>
          <a:off x="5038725" y="57150"/>
          <a:ext cx="1171576" cy="523875"/>
        </a:xfrm>
        <a:prstGeom prst="roundRect">
          <a:avLst/>
        </a:prstGeom>
        <a:solidFill>
          <a:srgbClr val="FF5353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DELETAR COLABORADOR</a:t>
          </a:r>
        </a:p>
      </xdr:txBody>
    </xdr:sp>
    <xdr:clientData fPrintsWithSheet="0"/>
  </xdr:twoCellAnchor>
  <xdr:twoCellAnchor editAs="absolute">
    <xdr:from>
      <xdr:col>1</xdr:col>
      <xdr:colOff>723901</xdr:colOff>
      <xdr:row>0</xdr:row>
      <xdr:rowOff>66675</xdr:rowOff>
    </xdr:from>
    <xdr:to>
      <xdr:col>2</xdr:col>
      <xdr:colOff>1752602</xdr:colOff>
      <xdr:row>1</xdr:row>
      <xdr:rowOff>266700</xdr:rowOff>
    </xdr:to>
    <xdr:sp macro="" textlink="">
      <xdr:nvSpPr>
        <xdr:cNvPr id="8" name="Retângulo Arredondado 7"/>
        <xdr:cNvSpPr/>
      </xdr:nvSpPr>
      <xdr:spPr>
        <a:xfrm>
          <a:off x="2505076" y="66675"/>
          <a:ext cx="2486026" cy="523875"/>
        </a:xfrm>
        <a:prstGeom prst="round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SELECIONE</a:t>
          </a:r>
          <a:r>
            <a:rPr lang="pt-BR" sz="1100" baseline="0"/>
            <a:t> A LINHA, USE BOTÃO DIREITO DO MOUSE - OPÇÃO: EXCLUIR</a:t>
          </a:r>
          <a:endParaRPr lang="pt-BR" sz="1100"/>
        </a:p>
      </xdr:txBody>
    </xdr:sp>
    <xdr:clientData fPrintsWithSheet="0"/>
  </xdr:twoCellAnchor>
  <xdr:twoCellAnchor editAs="absolute">
    <xdr:from>
      <xdr:col>8</xdr:col>
      <xdr:colOff>200025</xdr:colOff>
      <xdr:row>0</xdr:row>
      <xdr:rowOff>57150</xdr:rowOff>
    </xdr:from>
    <xdr:to>
      <xdr:col>10</xdr:col>
      <xdr:colOff>19050</xdr:colOff>
      <xdr:row>0</xdr:row>
      <xdr:rowOff>219075</xdr:rowOff>
    </xdr:to>
    <xdr:sp macro="[0]!EdiDest" textlink="">
      <xdr:nvSpPr>
        <xdr:cNvPr id="11" name="Retângulo Arredondado 10"/>
        <xdr:cNvSpPr/>
      </xdr:nvSpPr>
      <xdr:spPr>
        <a:xfrm>
          <a:off x="8572500" y="57150"/>
          <a:ext cx="1038225" cy="16192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ysClr val="windowText" lastClr="000000"/>
              </a:solidFill>
            </a:rPr>
            <a:t>DADOS</a:t>
          </a:r>
          <a:r>
            <a:rPr lang="pt-BR" sz="700" b="1" baseline="0">
              <a:solidFill>
                <a:sysClr val="windowText" lastClr="000000"/>
              </a:solidFill>
            </a:rPr>
            <a:t> PADRÕES</a:t>
          </a:r>
          <a:endParaRPr lang="pt-BR" sz="700" b="1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1</xdr:col>
      <xdr:colOff>666750</xdr:colOff>
      <xdr:row>0</xdr:row>
      <xdr:rowOff>38100</xdr:rowOff>
    </xdr:from>
    <xdr:to>
      <xdr:col>2</xdr:col>
      <xdr:colOff>1762124</xdr:colOff>
      <xdr:row>1</xdr:row>
      <xdr:rowOff>295275</xdr:rowOff>
    </xdr:to>
    <xdr:sp macro="" textlink="">
      <xdr:nvSpPr>
        <xdr:cNvPr id="10" name="Retângulo Arredondado 9"/>
        <xdr:cNvSpPr/>
      </xdr:nvSpPr>
      <xdr:spPr>
        <a:xfrm>
          <a:off x="2447925" y="38100"/>
          <a:ext cx="2552699" cy="581025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23</xdr:col>
          <xdr:colOff>409575</xdr:colOff>
          <xdr:row>2</xdr:row>
          <xdr:rowOff>38100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142875</xdr:rowOff>
        </xdr:from>
        <xdr:to>
          <xdr:col>4</xdr:col>
          <xdr:colOff>504825</xdr:colOff>
          <xdr:row>0</xdr:row>
          <xdr:rowOff>476250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</a:t>
              </a:r>
            </a:p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TELA GERENCIAL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28575</xdr:colOff>
      <xdr:row>5</xdr:row>
      <xdr:rowOff>38100</xdr:rowOff>
    </xdr:from>
    <xdr:to>
      <xdr:col>7</xdr:col>
      <xdr:colOff>28745</xdr:colOff>
      <xdr:row>8</xdr:row>
      <xdr:rowOff>47626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7728" b="39015"/>
        <a:stretch/>
      </xdr:blipFill>
      <xdr:spPr>
        <a:xfrm>
          <a:off x="3076575" y="1371600"/>
          <a:ext cx="1219370" cy="581026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8</xdr:row>
      <xdr:rowOff>47625</xdr:rowOff>
    </xdr:from>
    <xdr:to>
      <xdr:col>7</xdr:col>
      <xdr:colOff>28745</xdr:colOff>
      <xdr:row>9</xdr:row>
      <xdr:rowOff>95436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2258"/>
        <a:stretch/>
      </xdr:blipFill>
      <xdr:spPr>
        <a:xfrm>
          <a:off x="3076575" y="1952625"/>
          <a:ext cx="1219370" cy="238311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5</xdr:row>
      <xdr:rowOff>57150</xdr:rowOff>
    </xdr:from>
    <xdr:to>
      <xdr:col>8</xdr:col>
      <xdr:colOff>1009650</xdr:colOff>
      <xdr:row>6</xdr:row>
      <xdr:rowOff>95251</xdr:rowOff>
    </xdr:to>
    <xdr:sp macro="" textlink="">
      <xdr:nvSpPr>
        <xdr:cNvPr id="10" name="CaixaDeTexto 9"/>
        <xdr:cNvSpPr txBox="1"/>
      </xdr:nvSpPr>
      <xdr:spPr>
        <a:xfrm>
          <a:off x="4295775" y="1390650"/>
          <a:ext cx="1590675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Rever Data Programada</a:t>
          </a:r>
        </a:p>
      </xdr:txBody>
    </xdr:sp>
    <xdr:clientData/>
  </xdr:twoCellAnchor>
  <xdr:twoCellAnchor>
    <xdr:from>
      <xdr:col>7</xdr:col>
      <xdr:colOff>19049</xdr:colOff>
      <xdr:row>6</xdr:row>
      <xdr:rowOff>161924</xdr:rowOff>
    </xdr:from>
    <xdr:to>
      <xdr:col>8</xdr:col>
      <xdr:colOff>1009650</xdr:colOff>
      <xdr:row>8</xdr:row>
      <xdr:rowOff>0</xdr:rowOff>
    </xdr:to>
    <xdr:sp macro="" textlink="">
      <xdr:nvSpPr>
        <xdr:cNvPr id="11" name="CaixaDeTexto 10"/>
        <xdr:cNvSpPr txBox="1"/>
      </xdr:nvSpPr>
      <xdr:spPr>
        <a:xfrm>
          <a:off x="4286249" y="1685924"/>
          <a:ext cx="1600201" cy="2190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Rever Período</a:t>
          </a:r>
          <a:r>
            <a:rPr lang="pt-BR" sz="1100" baseline="0"/>
            <a:t> Aquisitivo</a:t>
          </a:r>
          <a:endParaRPr lang="pt-BR" sz="1100"/>
        </a:p>
      </xdr:txBody>
    </xdr:sp>
    <xdr:clientData/>
  </xdr:twoCellAnchor>
  <xdr:twoCellAnchor>
    <xdr:from>
      <xdr:col>7</xdr:col>
      <xdr:colOff>9524</xdr:colOff>
      <xdr:row>8</xdr:row>
      <xdr:rowOff>57151</xdr:rowOff>
    </xdr:from>
    <xdr:to>
      <xdr:col>8</xdr:col>
      <xdr:colOff>1009650</xdr:colOff>
      <xdr:row>9</xdr:row>
      <xdr:rowOff>76200</xdr:rowOff>
    </xdr:to>
    <xdr:sp macro="" textlink="">
      <xdr:nvSpPr>
        <xdr:cNvPr id="12" name="CaixaDeTexto 11"/>
        <xdr:cNvSpPr txBox="1"/>
      </xdr:nvSpPr>
      <xdr:spPr>
        <a:xfrm>
          <a:off x="4276724" y="1962151"/>
          <a:ext cx="1609726" cy="2095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</a:t>
          </a:r>
          <a:r>
            <a:rPr lang="pt-BR" sz="1100" baseline="0"/>
            <a:t> Programada OK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hyperlink" Target="mailto:william.rosas@prensajundiai.com" TargetMode="Externa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R19"/>
  <sheetViews>
    <sheetView showGridLines="0" showRowColHeaders="0" workbookViewId="0">
      <selection activeCell="I9" sqref="I9"/>
    </sheetView>
  </sheetViews>
  <sheetFormatPr defaultColWidth="0" defaultRowHeight="15" customHeight="1" zeroHeight="1" x14ac:dyDescent="0.25"/>
  <cols>
    <col min="1" max="18" width="9.140625" customWidth="1"/>
    <col min="19" max="16384" width="9.140625" hidden="1"/>
  </cols>
  <sheetData>
    <row r="1" spans="1:18" s="74" customForma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</row>
    <row r="2" spans="1:18" s="74" customFormat="1" ht="26.25" customHeight="1" x14ac:dyDescent="0.25">
      <c r="A2" s="73"/>
      <c r="B2" s="73"/>
      <c r="C2" s="73"/>
      <c r="D2" s="73"/>
      <c r="E2" s="73" t="s">
        <v>219</v>
      </c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8" s="74" customForma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s="74" customForma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s="74" customForma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18" s="74" customForma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s="74" customForma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s="74" customForma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18" s="74" customForma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8" s="74" customForma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 s="74" customForma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s="74" customForma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s="74" customForma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8" s="74" customForma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8" s="74" customForma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18" s="74" customForma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1:18" s="74" customForma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</row>
    <row r="18" spans="1:18" s="74" customForma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</row>
    <row r="19" spans="1:18" s="74" customForma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</row>
  </sheetData>
  <sheetProtection selectLockedCells="1" sort="0" autoFilter="0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charArq2">
                <anchor>
                  <from>
                    <xdr:col>0</xdr:col>
                    <xdr:colOff>200025</xdr:colOff>
                    <xdr:row>0</xdr:row>
                    <xdr:rowOff>95250</xdr:rowOff>
                  </from>
                  <to>
                    <xdr:col>2</xdr:col>
                    <xdr:colOff>161925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O7"/>
  <sheetViews>
    <sheetView showGridLines="0" showRowColHeaders="0" tabSelected="1" workbookViewId="0">
      <selection activeCell="B3" sqref="B3:C3"/>
    </sheetView>
  </sheetViews>
  <sheetFormatPr defaultColWidth="0" defaultRowHeight="15" zeroHeight="1" x14ac:dyDescent="0.25"/>
  <cols>
    <col min="1" max="1" width="17.140625" style="6" customWidth="1"/>
    <col min="2" max="2" width="32.140625" customWidth="1"/>
    <col min="3" max="3" width="12" style="1" customWidth="1"/>
    <col min="4" max="4" width="12.28515625" style="1" customWidth="1"/>
    <col min="5" max="5" width="3.42578125" style="1" customWidth="1"/>
    <col min="6" max="6" width="11.140625" style="1" customWidth="1"/>
    <col min="7" max="7" width="9.85546875" style="2" customWidth="1"/>
    <col min="8" max="8" width="9" style="2" customWidth="1"/>
    <col min="9" max="9" width="8" style="1" customWidth="1"/>
    <col min="10" max="10" width="15.5703125" style="1" customWidth="1"/>
    <col min="11" max="11" width="10" customWidth="1"/>
    <col min="12" max="12" width="8.42578125" customWidth="1"/>
    <col min="13" max="13" width="9.140625" customWidth="1"/>
    <col min="14" max="14" width="9.140625" hidden="1" customWidth="1"/>
    <col min="15" max="15" width="5" hidden="1" customWidth="1"/>
    <col min="16" max="16384" width="9.140625" hidden="1"/>
  </cols>
  <sheetData>
    <row r="1" spans="1:15" ht="42" customHeight="1" x14ac:dyDescent="0.25">
      <c r="A1" s="79" t="s">
        <v>2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34"/>
      <c r="N1" s="5"/>
      <c r="O1" s="44" t="s">
        <v>215</v>
      </c>
    </row>
    <row r="2" spans="1:15" ht="25.5" customHeight="1" x14ac:dyDescent="0.3">
      <c r="A2" s="21" t="s">
        <v>203</v>
      </c>
      <c r="B2" s="80" t="s">
        <v>204</v>
      </c>
      <c r="C2" s="80"/>
      <c r="D2" s="22"/>
      <c r="E2" s="22"/>
      <c r="F2" s="22"/>
      <c r="G2" s="23"/>
      <c r="H2" s="23"/>
      <c r="I2" s="22"/>
      <c r="J2" s="22"/>
      <c r="K2" s="24"/>
      <c r="L2" s="24"/>
      <c r="M2" s="24"/>
      <c r="N2" s="5"/>
      <c r="O2" s="43" t="s">
        <v>199</v>
      </c>
    </row>
    <row r="3" spans="1:15" ht="25.5" customHeight="1" x14ac:dyDescent="0.25">
      <c r="A3" s="25" t="s">
        <v>202</v>
      </c>
      <c r="B3" s="81"/>
      <c r="C3" s="81"/>
      <c r="D3" s="22"/>
      <c r="E3" s="22"/>
      <c r="F3" s="22"/>
      <c r="G3" s="23"/>
      <c r="H3" s="23"/>
      <c r="I3" s="22"/>
      <c r="J3" s="22"/>
      <c r="K3" s="24"/>
      <c r="L3" s="24"/>
      <c r="M3" s="24"/>
      <c r="N3" s="5"/>
      <c r="O3" s="43" t="s">
        <v>200</v>
      </c>
    </row>
    <row r="4" spans="1:15" ht="15" customHeight="1" x14ac:dyDescent="0.25">
      <c r="A4" s="26"/>
      <c r="B4" s="24"/>
      <c r="C4" s="22"/>
      <c r="D4" s="22"/>
      <c r="E4" s="22"/>
      <c r="F4" s="22"/>
      <c r="G4" s="23"/>
      <c r="H4" s="23"/>
      <c r="I4" s="22"/>
      <c r="J4" s="22"/>
      <c r="K4" s="24"/>
      <c r="L4" s="24"/>
      <c r="M4" s="24"/>
      <c r="N4" s="5"/>
      <c r="O4" s="5"/>
    </row>
    <row r="5" spans="1:15" ht="42.75" customHeight="1" x14ac:dyDescent="0.25">
      <c r="A5" s="27" t="s">
        <v>1</v>
      </c>
      <c r="B5" s="28" t="s">
        <v>0</v>
      </c>
      <c r="C5" s="28" t="s">
        <v>193</v>
      </c>
      <c r="D5" s="76" t="s">
        <v>194</v>
      </c>
      <c r="E5" s="77"/>
      <c r="F5" s="78"/>
      <c r="G5" s="27" t="s">
        <v>211</v>
      </c>
      <c r="H5" s="27" t="s">
        <v>212</v>
      </c>
      <c r="I5" s="28" t="s">
        <v>213</v>
      </c>
      <c r="J5" s="28" t="s">
        <v>195</v>
      </c>
      <c r="K5" s="28" t="s">
        <v>196</v>
      </c>
      <c r="L5" s="36" t="s">
        <v>197</v>
      </c>
      <c r="M5" s="35" t="s">
        <v>210</v>
      </c>
      <c r="N5" s="5"/>
      <c r="O5" s="44" t="s">
        <v>216</v>
      </c>
    </row>
    <row r="6" spans="1:15" x14ac:dyDescent="0.25">
      <c r="A6" s="29">
        <f ca="1">TODAY()</f>
        <v>44915</v>
      </c>
      <c r="B6" s="30"/>
      <c r="C6" s="31"/>
      <c r="D6" s="29"/>
      <c r="E6" s="31"/>
      <c r="F6" s="29"/>
      <c r="G6" s="32"/>
      <c r="H6" s="32"/>
      <c r="I6" s="32"/>
      <c r="J6" s="40"/>
      <c r="K6" s="41"/>
      <c r="L6" s="3"/>
      <c r="M6" s="3"/>
      <c r="N6" s="5"/>
      <c r="O6" s="43">
        <f>COUNTA(J6:L6)</f>
        <v>0</v>
      </c>
    </row>
    <row r="7" spans="1:15" x14ac:dyDescent="0.25">
      <c r="A7" s="33"/>
      <c r="B7" s="30"/>
      <c r="C7" s="31"/>
      <c r="D7" s="29"/>
      <c r="E7" s="31"/>
      <c r="F7" s="29"/>
      <c r="G7" s="32"/>
      <c r="H7" s="32"/>
      <c r="I7" s="32"/>
      <c r="J7" s="40"/>
      <c r="K7" s="41"/>
      <c r="L7" s="3"/>
      <c r="M7" s="3"/>
      <c r="N7" s="5"/>
      <c r="O7" s="43">
        <f>COUNTA(J7:L7)</f>
        <v>0</v>
      </c>
    </row>
  </sheetData>
  <sheetProtection selectLockedCells="1" sort="0" autoFilter="0"/>
  <mergeCells count="4">
    <mergeCell ref="D5:F5"/>
    <mergeCell ref="A1:L1"/>
    <mergeCell ref="B2:C2"/>
    <mergeCell ref="B3:C3"/>
  </mergeCells>
  <dataValidations count="1">
    <dataValidation type="list" allowBlank="1" showInputMessage="1" showErrorMessage="1" sqref="L6:L7">
      <formula1>$O$2:$O$3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echarArq2">
                <anchor>
                  <from>
                    <xdr:col>10</xdr:col>
                    <xdr:colOff>590550</xdr:colOff>
                    <xdr:row>0</xdr:row>
                    <xdr:rowOff>76200</xdr:rowOff>
                  </from>
                  <to>
                    <xdr:col>12</xdr:col>
                    <xdr:colOff>542925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Option Button 21">
              <controlPr defaultSize="0" autoFill="0" autoLine="0" autoPict="0">
                <anchor moveWithCells="1">
                  <from>
                    <xdr:col>12</xdr:col>
                    <xdr:colOff>200025</xdr:colOff>
                    <xdr:row>4</xdr:row>
                    <xdr:rowOff>533400</xdr:rowOff>
                  </from>
                  <to>
                    <xdr:col>12</xdr:col>
                    <xdr:colOff>466725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Option Button 22">
              <controlPr defaultSize="0" autoFill="0" autoLine="0" autoPict="0">
                <anchor moveWithCells="1">
                  <from>
                    <xdr:col>12</xdr:col>
                    <xdr:colOff>200025</xdr:colOff>
                    <xdr:row>5</xdr:row>
                    <xdr:rowOff>190500</xdr:rowOff>
                  </from>
                  <to>
                    <xdr:col>12</xdr:col>
                    <xdr:colOff>466725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nomes!$B$3:$B$100</xm:f>
          </x14:formula1>
          <xm:sqref>B3:C3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 filterMode="1"/>
  <dimension ref="A1:M213"/>
  <sheetViews>
    <sheetView showGridLines="0" workbookViewId="0">
      <pane ySplit="3" topLeftCell="A106" activePane="bottomLeft" state="frozen"/>
      <selection pane="bottomLeft" activeCell="C4" sqref="C4:C121"/>
    </sheetView>
  </sheetViews>
  <sheetFormatPr defaultColWidth="0" defaultRowHeight="15" x14ac:dyDescent="0.25"/>
  <cols>
    <col min="1" max="1" width="26.7109375" style="66" customWidth="1"/>
    <col min="2" max="2" width="21.85546875" style="66" bestFit="1" customWidth="1"/>
    <col min="3" max="3" width="33.85546875" style="66" bestFit="1" customWidth="1"/>
    <col min="4" max="4" width="11.28515625" style="67" bestFit="1" customWidth="1"/>
    <col min="5" max="5" width="9.140625" style="66" customWidth="1"/>
    <col min="6" max="6" width="3.42578125" style="66" customWidth="1"/>
    <col min="7" max="7" width="9.140625" style="66" customWidth="1"/>
    <col min="8" max="8" width="10.140625" style="68" customWidth="1"/>
    <col min="9" max="10" width="9.140625" style="68" customWidth="1"/>
    <col min="11" max="11" width="9.140625" style="67" customWidth="1"/>
    <col min="12" max="12" width="9.140625" style="66" customWidth="1"/>
    <col min="13" max="13" width="12.7109375" style="69" customWidth="1"/>
    <col min="14" max="16384" width="9.140625" style="18" hidden="1"/>
  </cols>
  <sheetData>
    <row r="1" spans="1:13" ht="25.5" customHeight="1" x14ac:dyDescent="0.25">
      <c r="A1" s="45" t="s">
        <v>23</v>
      </c>
      <c r="B1" s="46"/>
      <c r="C1" s="46"/>
      <c r="D1" s="46"/>
      <c r="E1" s="46"/>
      <c r="F1" s="46"/>
      <c r="G1" s="46"/>
      <c r="H1" s="47"/>
      <c r="I1" s="47"/>
      <c r="J1" s="47"/>
      <c r="K1" s="48"/>
      <c r="L1" s="49"/>
      <c r="M1" s="50" t="s">
        <v>217</v>
      </c>
    </row>
    <row r="2" spans="1:13" ht="25.5" customHeight="1" x14ac:dyDescent="0.25">
      <c r="A2" s="51"/>
      <c r="B2" s="52"/>
      <c r="C2" s="52"/>
      <c r="D2" s="52"/>
      <c r="E2" s="52"/>
      <c r="F2" s="52"/>
      <c r="G2" s="52"/>
      <c r="H2" s="53"/>
      <c r="I2" s="53"/>
      <c r="J2" s="53"/>
      <c r="K2" s="54"/>
      <c r="L2" s="55"/>
      <c r="M2" s="56">
        <f ca="1">TODAY()</f>
        <v>44915</v>
      </c>
    </row>
    <row r="3" spans="1:13" ht="28.5" customHeight="1" x14ac:dyDescent="0.25">
      <c r="A3" s="75" t="s">
        <v>27</v>
      </c>
      <c r="B3" s="75" t="s">
        <v>26</v>
      </c>
      <c r="C3" s="75" t="s">
        <v>25</v>
      </c>
      <c r="D3" s="75" t="s">
        <v>24</v>
      </c>
      <c r="E3" s="82" t="s">
        <v>28</v>
      </c>
      <c r="F3" s="82"/>
      <c r="G3" s="82"/>
      <c r="H3" s="57" t="s">
        <v>29</v>
      </c>
      <c r="I3" s="57" t="s">
        <v>30</v>
      </c>
      <c r="J3" s="57" t="s">
        <v>31</v>
      </c>
      <c r="K3" s="58" t="s">
        <v>32</v>
      </c>
      <c r="L3" s="58" t="s">
        <v>33</v>
      </c>
      <c r="M3" s="59" t="s">
        <v>218</v>
      </c>
    </row>
    <row r="4" spans="1:13" hidden="1" x14ac:dyDescent="0.25">
      <c r="A4" s="60" t="s">
        <v>36</v>
      </c>
      <c r="B4" s="60" t="s">
        <v>35</v>
      </c>
      <c r="C4" s="60" t="s">
        <v>34</v>
      </c>
      <c r="D4" s="61">
        <v>3611</v>
      </c>
      <c r="E4" s="62">
        <v>44531</v>
      </c>
      <c r="F4" s="62" t="s">
        <v>37</v>
      </c>
      <c r="G4" s="62">
        <v>44895</v>
      </c>
      <c r="H4" s="63">
        <f t="shared" ref="H4:H67" ca="1" si="0">IFERROR(IF(((DATEDIF(E4,M$2,"m"))*2.5)&gt;30,30,((DATEDIF(E4,M$2,"m"))*2.5)),"-")</f>
        <v>30</v>
      </c>
      <c r="I4" s="63">
        <v>5</v>
      </c>
      <c r="J4" s="63">
        <f ca="1">IFERROR(H4-I4,"-")</f>
        <v>25</v>
      </c>
      <c r="K4" s="64">
        <f ca="1">IFERROR(IF((DATEDIF(E4,M$2,"m"))&gt;12,12,(DATEDIF(E4,M$2,"m"))),"-")</f>
        <v>12</v>
      </c>
      <c r="L4" s="60" t="s">
        <v>38</v>
      </c>
      <c r="M4" s="65"/>
    </row>
    <row r="5" spans="1:13" hidden="1" x14ac:dyDescent="0.25">
      <c r="A5" s="60" t="s">
        <v>36</v>
      </c>
      <c r="B5" s="60" t="s">
        <v>35</v>
      </c>
      <c r="C5" s="60" t="s">
        <v>34</v>
      </c>
      <c r="D5" s="61">
        <v>3611</v>
      </c>
      <c r="E5" s="62">
        <v>44896</v>
      </c>
      <c r="F5" s="62" t="s">
        <v>37</v>
      </c>
      <c r="G5" s="62">
        <v>45260</v>
      </c>
      <c r="H5" s="63">
        <f t="shared" ca="1" si="0"/>
        <v>0</v>
      </c>
      <c r="I5" s="63">
        <v>0</v>
      </c>
      <c r="J5" s="63">
        <f t="shared" ref="J5:J68" ca="1" si="1">IFERROR(H5-I5,"-")</f>
        <v>0</v>
      </c>
      <c r="K5" s="64">
        <f t="shared" ref="K5:K8" ca="1" si="2">IFERROR(IF((DATEDIF(E5,M$2,"m"))&gt;12,12,(DATEDIF(E5,M$2,"m"))),"-")</f>
        <v>0</v>
      </c>
      <c r="L5" s="60" t="s">
        <v>38</v>
      </c>
      <c r="M5" s="65"/>
    </row>
    <row r="6" spans="1:13" hidden="1" x14ac:dyDescent="0.25">
      <c r="A6" s="60" t="s">
        <v>36</v>
      </c>
      <c r="B6" s="60" t="s">
        <v>35</v>
      </c>
      <c r="C6" s="60" t="s">
        <v>39</v>
      </c>
      <c r="D6" s="61">
        <v>3283</v>
      </c>
      <c r="E6" s="62">
        <v>44456</v>
      </c>
      <c r="F6" s="62" t="s">
        <v>37</v>
      </c>
      <c r="G6" s="62">
        <v>44820</v>
      </c>
      <c r="H6" s="63">
        <f t="shared" ca="1" si="0"/>
        <v>30</v>
      </c>
      <c r="I6" s="63">
        <v>0</v>
      </c>
      <c r="J6" s="63">
        <f t="shared" ca="1" si="1"/>
        <v>30</v>
      </c>
      <c r="K6" s="64">
        <f t="shared" ca="1" si="2"/>
        <v>12</v>
      </c>
      <c r="L6" s="60" t="s">
        <v>38</v>
      </c>
      <c r="M6" s="65"/>
    </row>
    <row r="7" spans="1:13" hidden="1" x14ac:dyDescent="0.25">
      <c r="A7" s="60" t="s">
        <v>36</v>
      </c>
      <c r="B7" s="60" t="s">
        <v>35</v>
      </c>
      <c r="C7" s="60" t="s">
        <v>39</v>
      </c>
      <c r="D7" s="61">
        <v>3283</v>
      </c>
      <c r="E7" s="62">
        <v>44821</v>
      </c>
      <c r="F7" s="62" t="s">
        <v>37</v>
      </c>
      <c r="G7" s="62">
        <v>45185</v>
      </c>
      <c r="H7" s="63">
        <f t="shared" ca="1" si="0"/>
        <v>7.5</v>
      </c>
      <c r="I7" s="63">
        <v>0</v>
      </c>
      <c r="J7" s="63">
        <f t="shared" ca="1" si="1"/>
        <v>7.5</v>
      </c>
      <c r="K7" s="64">
        <f t="shared" ca="1" si="2"/>
        <v>3</v>
      </c>
      <c r="L7" s="60" t="s">
        <v>38</v>
      </c>
      <c r="M7" s="65"/>
    </row>
    <row r="8" spans="1:13" hidden="1" x14ac:dyDescent="0.25">
      <c r="A8" s="60" t="s">
        <v>36</v>
      </c>
      <c r="B8" s="60" t="s">
        <v>35</v>
      </c>
      <c r="C8" s="60" t="s">
        <v>40</v>
      </c>
      <c r="D8" s="61">
        <v>3301</v>
      </c>
      <c r="E8" s="62">
        <v>44616</v>
      </c>
      <c r="F8" s="62" t="s">
        <v>37</v>
      </c>
      <c r="G8" s="62">
        <v>44980</v>
      </c>
      <c r="H8" s="63">
        <f t="shared" ca="1" si="0"/>
        <v>22.5</v>
      </c>
      <c r="I8" s="63">
        <v>0</v>
      </c>
      <c r="J8" s="63">
        <f t="shared" ca="1" si="1"/>
        <v>22.5</v>
      </c>
      <c r="K8" s="64">
        <f t="shared" ca="1" si="2"/>
        <v>9</v>
      </c>
      <c r="L8" s="60" t="s">
        <v>38</v>
      </c>
      <c r="M8" s="65"/>
    </row>
    <row r="9" spans="1:13" hidden="1" x14ac:dyDescent="0.25">
      <c r="A9" s="60" t="s">
        <v>36</v>
      </c>
      <c r="B9" s="60" t="s">
        <v>35</v>
      </c>
      <c r="C9" s="60" t="s">
        <v>40</v>
      </c>
      <c r="D9" s="61">
        <v>3301</v>
      </c>
      <c r="E9" s="62">
        <v>44981</v>
      </c>
      <c r="F9" s="62" t="s">
        <v>37</v>
      </c>
      <c r="G9" s="62">
        <v>45345</v>
      </c>
      <c r="H9" s="63" t="str">
        <f t="shared" ca="1" si="0"/>
        <v>-</v>
      </c>
      <c r="I9" s="63"/>
      <c r="J9" s="63" t="str">
        <f t="shared" ca="1" si="1"/>
        <v>-</v>
      </c>
      <c r="K9" s="64" t="str">
        <f ca="1">IFERROR(IF((DATEDIF(E9,M$2,"m"))&gt;12,12,(DATEDIF(E9,M$2,"m"))),"-")</f>
        <v>-</v>
      </c>
      <c r="L9" s="60" t="s">
        <v>38</v>
      </c>
      <c r="M9" s="65"/>
    </row>
    <row r="10" spans="1:13" hidden="1" x14ac:dyDescent="0.25">
      <c r="A10" s="60" t="s">
        <v>36</v>
      </c>
      <c r="B10" s="60" t="s">
        <v>35</v>
      </c>
      <c r="C10" s="60" t="s">
        <v>41</v>
      </c>
      <c r="D10" s="61">
        <v>3031</v>
      </c>
      <c r="E10" s="62">
        <v>44531</v>
      </c>
      <c r="F10" s="62" t="s">
        <v>37</v>
      </c>
      <c r="G10" s="62">
        <v>44895</v>
      </c>
      <c r="H10" s="63">
        <f t="shared" ca="1" si="0"/>
        <v>30</v>
      </c>
      <c r="I10" s="63">
        <v>0</v>
      </c>
      <c r="J10" s="63">
        <f t="shared" ca="1" si="1"/>
        <v>30</v>
      </c>
      <c r="K10" s="64">
        <f t="shared" ref="K10:K73" ca="1" si="3">IFERROR(IF((DATEDIF(E10,M$2,"m"))&gt;12,12,(DATEDIF(E10,M$2,"m"))),"-")</f>
        <v>12</v>
      </c>
      <c r="L10" s="60" t="s">
        <v>38</v>
      </c>
      <c r="M10" s="65"/>
    </row>
    <row r="11" spans="1:13" hidden="1" x14ac:dyDescent="0.25">
      <c r="A11" s="60" t="s">
        <v>36</v>
      </c>
      <c r="B11" s="60" t="s">
        <v>35</v>
      </c>
      <c r="C11" s="60" t="s">
        <v>41</v>
      </c>
      <c r="D11" s="61">
        <v>3031</v>
      </c>
      <c r="E11" s="62">
        <v>44896</v>
      </c>
      <c r="F11" s="62" t="s">
        <v>37</v>
      </c>
      <c r="G11" s="62">
        <v>45260</v>
      </c>
      <c r="H11" s="63">
        <f t="shared" ca="1" si="0"/>
        <v>0</v>
      </c>
      <c r="I11" s="63">
        <v>0</v>
      </c>
      <c r="J11" s="63">
        <f t="shared" ca="1" si="1"/>
        <v>0</v>
      </c>
      <c r="K11" s="64">
        <f t="shared" ca="1" si="3"/>
        <v>0</v>
      </c>
      <c r="L11" s="60" t="s">
        <v>38</v>
      </c>
      <c r="M11" s="65"/>
    </row>
    <row r="12" spans="1:13" hidden="1" x14ac:dyDescent="0.25">
      <c r="A12" s="60" t="s">
        <v>36</v>
      </c>
      <c r="B12" s="60" t="s">
        <v>35</v>
      </c>
      <c r="C12" s="60" t="s">
        <v>42</v>
      </c>
      <c r="D12" s="61">
        <v>3718</v>
      </c>
      <c r="E12" s="62">
        <v>44539</v>
      </c>
      <c r="F12" s="62" t="s">
        <v>37</v>
      </c>
      <c r="G12" s="62">
        <v>44903</v>
      </c>
      <c r="H12" s="63">
        <f t="shared" ca="1" si="0"/>
        <v>30</v>
      </c>
      <c r="I12" s="63">
        <v>0</v>
      </c>
      <c r="J12" s="63">
        <f t="shared" ca="1" si="1"/>
        <v>30</v>
      </c>
      <c r="K12" s="64">
        <f t="shared" ca="1" si="3"/>
        <v>12</v>
      </c>
      <c r="L12" s="60" t="s">
        <v>38</v>
      </c>
      <c r="M12" s="65"/>
    </row>
    <row r="13" spans="1:13" hidden="1" x14ac:dyDescent="0.25">
      <c r="A13" s="60" t="s">
        <v>36</v>
      </c>
      <c r="B13" s="60" t="s">
        <v>35</v>
      </c>
      <c r="C13" s="60" t="s">
        <v>42</v>
      </c>
      <c r="D13" s="61">
        <v>3718</v>
      </c>
      <c r="E13" s="62">
        <v>44904</v>
      </c>
      <c r="F13" s="62" t="s">
        <v>37</v>
      </c>
      <c r="G13" s="62">
        <v>45268</v>
      </c>
      <c r="H13" s="63">
        <f t="shared" ca="1" si="0"/>
        <v>0</v>
      </c>
      <c r="I13" s="63">
        <v>0</v>
      </c>
      <c r="J13" s="63">
        <f t="shared" ca="1" si="1"/>
        <v>0</v>
      </c>
      <c r="K13" s="64">
        <f t="shared" ca="1" si="3"/>
        <v>0</v>
      </c>
      <c r="L13" s="60" t="s">
        <v>38</v>
      </c>
      <c r="M13" s="65"/>
    </row>
    <row r="14" spans="1:13" hidden="1" x14ac:dyDescent="0.25">
      <c r="A14" s="60" t="s">
        <v>45</v>
      </c>
      <c r="B14" s="60" t="s">
        <v>44</v>
      </c>
      <c r="C14" s="60" t="s">
        <v>43</v>
      </c>
      <c r="D14" s="61">
        <v>3701</v>
      </c>
      <c r="E14" s="62">
        <v>44329</v>
      </c>
      <c r="F14" s="62" t="s">
        <v>37</v>
      </c>
      <c r="G14" s="62">
        <v>44693</v>
      </c>
      <c r="H14" s="63">
        <f t="shared" ca="1" si="0"/>
        <v>30</v>
      </c>
      <c r="I14" s="63">
        <v>10</v>
      </c>
      <c r="J14" s="63">
        <f t="shared" ca="1" si="1"/>
        <v>20</v>
      </c>
      <c r="K14" s="64">
        <f t="shared" ca="1" si="3"/>
        <v>12</v>
      </c>
      <c r="L14" s="60" t="s">
        <v>38</v>
      </c>
      <c r="M14" s="65"/>
    </row>
    <row r="15" spans="1:13" hidden="1" x14ac:dyDescent="0.25">
      <c r="A15" s="60" t="s">
        <v>45</v>
      </c>
      <c r="B15" s="60" t="s">
        <v>44</v>
      </c>
      <c r="C15" s="60" t="s">
        <v>43</v>
      </c>
      <c r="D15" s="61">
        <v>3701</v>
      </c>
      <c r="E15" s="62">
        <v>44694</v>
      </c>
      <c r="F15" s="62" t="s">
        <v>37</v>
      </c>
      <c r="G15" s="62">
        <v>45058</v>
      </c>
      <c r="H15" s="63">
        <f t="shared" ca="1" si="0"/>
        <v>17.5</v>
      </c>
      <c r="I15" s="63">
        <v>0</v>
      </c>
      <c r="J15" s="63">
        <f t="shared" ca="1" si="1"/>
        <v>17.5</v>
      </c>
      <c r="K15" s="64">
        <f t="shared" ca="1" si="3"/>
        <v>7</v>
      </c>
      <c r="L15" s="60" t="s">
        <v>38</v>
      </c>
      <c r="M15" s="65"/>
    </row>
    <row r="16" spans="1:13" hidden="1" x14ac:dyDescent="0.25">
      <c r="A16" s="60" t="s">
        <v>45</v>
      </c>
      <c r="B16" s="60" t="s">
        <v>44</v>
      </c>
      <c r="C16" s="60" t="s">
        <v>46</v>
      </c>
      <c r="D16" s="61">
        <v>3789</v>
      </c>
      <c r="E16" s="62">
        <v>44669</v>
      </c>
      <c r="F16" s="62" t="s">
        <v>37</v>
      </c>
      <c r="G16" s="62">
        <v>45033</v>
      </c>
      <c r="H16" s="63">
        <f t="shared" ca="1" si="0"/>
        <v>20</v>
      </c>
      <c r="I16" s="63">
        <v>10</v>
      </c>
      <c r="J16" s="63">
        <f t="shared" ca="1" si="1"/>
        <v>10</v>
      </c>
      <c r="K16" s="64">
        <f t="shared" ca="1" si="3"/>
        <v>8</v>
      </c>
      <c r="L16" s="60" t="s">
        <v>38</v>
      </c>
      <c r="M16" s="65"/>
    </row>
    <row r="17" spans="1:13" hidden="1" x14ac:dyDescent="0.25">
      <c r="A17" s="60" t="s">
        <v>45</v>
      </c>
      <c r="B17" s="60" t="s">
        <v>44</v>
      </c>
      <c r="C17" s="60" t="s">
        <v>46</v>
      </c>
      <c r="D17" s="61">
        <v>3789</v>
      </c>
      <c r="E17" s="62">
        <v>45034</v>
      </c>
      <c r="F17" s="62" t="s">
        <v>37</v>
      </c>
      <c r="G17" s="62">
        <v>45399</v>
      </c>
      <c r="H17" s="63" t="str">
        <f t="shared" ca="1" si="0"/>
        <v>-</v>
      </c>
      <c r="I17" s="63">
        <v>10</v>
      </c>
      <c r="J17" s="63" t="str">
        <f t="shared" ca="1" si="1"/>
        <v>-</v>
      </c>
      <c r="K17" s="64" t="str">
        <f t="shared" ca="1" si="3"/>
        <v>-</v>
      </c>
      <c r="L17" s="60" t="s">
        <v>38</v>
      </c>
      <c r="M17" s="65"/>
    </row>
    <row r="18" spans="1:13" hidden="1" x14ac:dyDescent="0.25">
      <c r="A18" s="60" t="s">
        <v>45</v>
      </c>
      <c r="B18" s="60" t="s">
        <v>44</v>
      </c>
      <c r="C18" s="60" t="s">
        <v>47</v>
      </c>
      <c r="D18" s="61">
        <v>3756</v>
      </c>
      <c r="E18" s="62">
        <v>44761</v>
      </c>
      <c r="F18" s="62" t="s">
        <v>37</v>
      </c>
      <c r="G18" s="62">
        <v>45125</v>
      </c>
      <c r="H18" s="63">
        <f t="shared" ca="1" si="0"/>
        <v>12.5</v>
      </c>
      <c r="I18" s="63">
        <v>0</v>
      </c>
      <c r="J18" s="63">
        <f t="shared" ca="1" si="1"/>
        <v>12.5</v>
      </c>
      <c r="K18" s="64">
        <f t="shared" ca="1" si="3"/>
        <v>5</v>
      </c>
      <c r="L18" s="60" t="s">
        <v>38</v>
      </c>
      <c r="M18" s="65"/>
    </row>
    <row r="19" spans="1:13" hidden="1" x14ac:dyDescent="0.25">
      <c r="A19" s="60" t="s">
        <v>45</v>
      </c>
      <c r="B19" s="60" t="s">
        <v>44</v>
      </c>
      <c r="C19" s="60" t="s">
        <v>48</v>
      </c>
      <c r="D19" s="61">
        <v>2967</v>
      </c>
      <c r="E19" s="62">
        <v>44465</v>
      </c>
      <c r="F19" s="62" t="s">
        <v>37</v>
      </c>
      <c r="G19" s="62">
        <v>44829</v>
      </c>
      <c r="H19" s="63">
        <f t="shared" ca="1" si="0"/>
        <v>30</v>
      </c>
      <c r="I19" s="63">
        <v>0</v>
      </c>
      <c r="J19" s="63">
        <f t="shared" ca="1" si="1"/>
        <v>30</v>
      </c>
      <c r="K19" s="64">
        <f t="shared" ca="1" si="3"/>
        <v>12</v>
      </c>
      <c r="L19" s="60" t="s">
        <v>38</v>
      </c>
      <c r="M19" s="65"/>
    </row>
    <row r="20" spans="1:13" hidden="1" x14ac:dyDescent="0.25">
      <c r="A20" s="60" t="s">
        <v>45</v>
      </c>
      <c r="B20" s="60" t="s">
        <v>44</v>
      </c>
      <c r="C20" s="60" t="s">
        <v>48</v>
      </c>
      <c r="D20" s="61">
        <v>2967</v>
      </c>
      <c r="E20" s="62">
        <v>44830</v>
      </c>
      <c r="F20" s="62" t="s">
        <v>37</v>
      </c>
      <c r="G20" s="62">
        <v>45194</v>
      </c>
      <c r="H20" s="63">
        <f t="shared" ca="1" si="0"/>
        <v>5</v>
      </c>
      <c r="I20" s="63">
        <v>0</v>
      </c>
      <c r="J20" s="63">
        <f t="shared" ca="1" si="1"/>
        <v>5</v>
      </c>
      <c r="K20" s="64">
        <f t="shared" ca="1" si="3"/>
        <v>2</v>
      </c>
      <c r="L20" s="60" t="s">
        <v>38</v>
      </c>
      <c r="M20" s="65"/>
    </row>
    <row r="21" spans="1:13" hidden="1" x14ac:dyDescent="0.25">
      <c r="A21" s="60" t="s">
        <v>45</v>
      </c>
      <c r="B21" s="60" t="s">
        <v>44</v>
      </c>
      <c r="C21" s="60" t="s">
        <v>49</v>
      </c>
      <c r="D21" s="61">
        <v>3799</v>
      </c>
      <c r="E21" s="62">
        <v>44802</v>
      </c>
      <c r="F21" s="62" t="s">
        <v>37</v>
      </c>
      <c r="G21" s="62">
        <v>45166</v>
      </c>
      <c r="H21" s="63">
        <f t="shared" ca="1" si="0"/>
        <v>7.5</v>
      </c>
      <c r="I21" s="63">
        <v>0</v>
      </c>
      <c r="J21" s="63">
        <f t="shared" ca="1" si="1"/>
        <v>7.5</v>
      </c>
      <c r="K21" s="64">
        <f t="shared" ca="1" si="3"/>
        <v>3</v>
      </c>
      <c r="L21" s="60" t="s">
        <v>38</v>
      </c>
      <c r="M21" s="65"/>
    </row>
    <row r="22" spans="1:13" hidden="1" x14ac:dyDescent="0.25">
      <c r="A22" s="60" t="s">
        <v>45</v>
      </c>
      <c r="B22" s="60" t="s">
        <v>44</v>
      </c>
      <c r="C22" s="60" t="s">
        <v>50</v>
      </c>
      <c r="D22" s="61">
        <v>3664</v>
      </c>
      <c r="E22" s="62">
        <v>44443</v>
      </c>
      <c r="F22" s="62" t="s">
        <v>37</v>
      </c>
      <c r="G22" s="62">
        <v>44807</v>
      </c>
      <c r="H22" s="63">
        <f t="shared" ca="1" si="0"/>
        <v>30</v>
      </c>
      <c r="I22" s="63">
        <v>10</v>
      </c>
      <c r="J22" s="63">
        <f t="shared" ca="1" si="1"/>
        <v>20</v>
      </c>
      <c r="K22" s="64">
        <f t="shared" ca="1" si="3"/>
        <v>12</v>
      </c>
      <c r="L22" s="60" t="s">
        <v>38</v>
      </c>
      <c r="M22" s="65"/>
    </row>
    <row r="23" spans="1:13" hidden="1" x14ac:dyDescent="0.25">
      <c r="A23" s="60" t="s">
        <v>45</v>
      </c>
      <c r="B23" s="60" t="s">
        <v>44</v>
      </c>
      <c r="C23" s="60" t="s">
        <v>50</v>
      </c>
      <c r="D23" s="61">
        <v>3664</v>
      </c>
      <c r="E23" s="62">
        <v>44808</v>
      </c>
      <c r="F23" s="62" t="s">
        <v>37</v>
      </c>
      <c r="G23" s="62">
        <v>45172</v>
      </c>
      <c r="H23" s="63">
        <f t="shared" ca="1" si="0"/>
        <v>7.5</v>
      </c>
      <c r="I23" s="63">
        <v>0</v>
      </c>
      <c r="J23" s="63">
        <f t="shared" ca="1" si="1"/>
        <v>7.5</v>
      </c>
      <c r="K23" s="64">
        <f t="shared" ca="1" si="3"/>
        <v>3</v>
      </c>
      <c r="L23" s="60" t="s">
        <v>38</v>
      </c>
      <c r="M23" s="65"/>
    </row>
    <row r="24" spans="1:13" hidden="1" x14ac:dyDescent="0.25">
      <c r="A24" s="60" t="s">
        <v>53</v>
      </c>
      <c r="B24" s="60" t="s">
        <v>52</v>
      </c>
      <c r="C24" s="60" t="s">
        <v>51</v>
      </c>
      <c r="D24" s="61">
        <v>3698</v>
      </c>
      <c r="E24" s="62">
        <v>44664</v>
      </c>
      <c r="F24" s="62" t="s">
        <v>37</v>
      </c>
      <c r="G24" s="62">
        <v>45028</v>
      </c>
      <c r="H24" s="63">
        <f t="shared" ca="1" si="0"/>
        <v>20</v>
      </c>
      <c r="I24" s="63">
        <v>0</v>
      </c>
      <c r="J24" s="63">
        <f t="shared" ca="1" si="1"/>
        <v>20</v>
      </c>
      <c r="K24" s="64">
        <f t="shared" ca="1" si="3"/>
        <v>8</v>
      </c>
      <c r="L24" s="60" t="s">
        <v>38</v>
      </c>
      <c r="M24" s="65"/>
    </row>
    <row r="25" spans="1:13" hidden="1" x14ac:dyDescent="0.25">
      <c r="A25" s="60" t="s">
        <v>53</v>
      </c>
      <c r="B25" s="60" t="s">
        <v>52</v>
      </c>
      <c r="C25" s="60" t="s">
        <v>54</v>
      </c>
      <c r="D25" s="61">
        <v>3524</v>
      </c>
      <c r="E25" s="62">
        <v>44479</v>
      </c>
      <c r="F25" s="62" t="s">
        <v>37</v>
      </c>
      <c r="G25" s="62">
        <v>44843</v>
      </c>
      <c r="H25" s="63">
        <f t="shared" ca="1" si="0"/>
        <v>30</v>
      </c>
      <c r="I25" s="63">
        <v>0</v>
      </c>
      <c r="J25" s="63">
        <f t="shared" ca="1" si="1"/>
        <v>30</v>
      </c>
      <c r="K25" s="64">
        <f t="shared" ca="1" si="3"/>
        <v>12</v>
      </c>
      <c r="L25" s="60" t="s">
        <v>38</v>
      </c>
      <c r="M25" s="65"/>
    </row>
    <row r="26" spans="1:13" hidden="1" x14ac:dyDescent="0.25">
      <c r="A26" s="60" t="s">
        <v>53</v>
      </c>
      <c r="B26" s="60" t="s">
        <v>52</v>
      </c>
      <c r="C26" s="60" t="s">
        <v>54</v>
      </c>
      <c r="D26" s="61">
        <v>3524</v>
      </c>
      <c r="E26" s="62">
        <v>44844</v>
      </c>
      <c r="F26" s="62" t="s">
        <v>37</v>
      </c>
      <c r="G26" s="62">
        <v>45208</v>
      </c>
      <c r="H26" s="63">
        <f t="shared" ca="1" si="0"/>
        <v>5</v>
      </c>
      <c r="I26" s="63">
        <v>0</v>
      </c>
      <c r="J26" s="63">
        <f t="shared" ca="1" si="1"/>
        <v>5</v>
      </c>
      <c r="K26" s="64">
        <f t="shared" ca="1" si="3"/>
        <v>2</v>
      </c>
      <c r="L26" s="60" t="s">
        <v>38</v>
      </c>
      <c r="M26" s="65"/>
    </row>
    <row r="27" spans="1:13" hidden="1" x14ac:dyDescent="0.25">
      <c r="A27" s="60" t="s">
        <v>53</v>
      </c>
      <c r="B27" s="60" t="s">
        <v>52</v>
      </c>
      <c r="C27" s="60" t="s">
        <v>55</v>
      </c>
      <c r="D27" s="61">
        <v>3773</v>
      </c>
      <c r="E27" s="62">
        <v>44503</v>
      </c>
      <c r="F27" s="62" t="s">
        <v>37</v>
      </c>
      <c r="G27" s="62">
        <v>44867</v>
      </c>
      <c r="H27" s="63">
        <f t="shared" ca="1" si="0"/>
        <v>30</v>
      </c>
      <c r="I27" s="63">
        <v>0</v>
      </c>
      <c r="J27" s="63">
        <f t="shared" ca="1" si="1"/>
        <v>30</v>
      </c>
      <c r="K27" s="64">
        <f t="shared" ca="1" si="3"/>
        <v>12</v>
      </c>
      <c r="L27" s="60" t="s">
        <v>38</v>
      </c>
      <c r="M27" s="65"/>
    </row>
    <row r="28" spans="1:13" hidden="1" x14ac:dyDescent="0.25">
      <c r="A28" s="60" t="s">
        <v>53</v>
      </c>
      <c r="B28" s="60" t="s">
        <v>52</v>
      </c>
      <c r="C28" s="60" t="s">
        <v>55</v>
      </c>
      <c r="D28" s="61">
        <v>3773</v>
      </c>
      <c r="E28" s="62">
        <v>44868</v>
      </c>
      <c r="F28" s="62" t="s">
        <v>37</v>
      </c>
      <c r="G28" s="62">
        <v>45232</v>
      </c>
      <c r="H28" s="63">
        <f t="shared" ca="1" si="0"/>
        <v>2.5</v>
      </c>
      <c r="I28" s="63">
        <v>0</v>
      </c>
      <c r="J28" s="63">
        <f t="shared" ca="1" si="1"/>
        <v>2.5</v>
      </c>
      <c r="K28" s="64">
        <f t="shared" ca="1" si="3"/>
        <v>1</v>
      </c>
      <c r="L28" s="60" t="s">
        <v>38</v>
      </c>
      <c r="M28" s="65"/>
    </row>
    <row r="29" spans="1:13" hidden="1" x14ac:dyDescent="0.25">
      <c r="A29" s="60" t="s">
        <v>53</v>
      </c>
      <c r="B29" s="60" t="s">
        <v>52</v>
      </c>
      <c r="C29" s="60" t="s">
        <v>53</v>
      </c>
      <c r="D29" s="61">
        <v>2857</v>
      </c>
      <c r="E29" s="62">
        <v>44589</v>
      </c>
      <c r="F29" s="62" t="s">
        <v>37</v>
      </c>
      <c r="G29" s="62">
        <v>44953</v>
      </c>
      <c r="H29" s="63">
        <f t="shared" ca="1" si="0"/>
        <v>25</v>
      </c>
      <c r="I29" s="63">
        <v>0</v>
      </c>
      <c r="J29" s="63">
        <f t="shared" ca="1" si="1"/>
        <v>25</v>
      </c>
      <c r="K29" s="64">
        <f t="shared" ca="1" si="3"/>
        <v>10</v>
      </c>
      <c r="L29" s="60" t="s">
        <v>38</v>
      </c>
      <c r="M29" s="65"/>
    </row>
    <row r="30" spans="1:13" hidden="1" x14ac:dyDescent="0.25">
      <c r="A30" s="60" t="s">
        <v>58</v>
      </c>
      <c r="B30" s="60" t="s">
        <v>57</v>
      </c>
      <c r="C30" s="60" t="s">
        <v>56</v>
      </c>
      <c r="D30" s="61">
        <v>3776</v>
      </c>
      <c r="E30" s="62">
        <v>44523</v>
      </c>
      <c r="F30" s="62" t="s">
        <v>37</v>
      </c>
      <c r="G30" s="62">
        <v>44887</v>
      </c>
      <c r="H30" s="63">
        <f t="shared" ca="1" si="0"/>
        <v>30</v>
      </c>
      <c r="I30" s="63">
        <v>10</v>
      </c>
      <c r="J30" s="63">
        <f t="shared" ca="1" si="1"/>
        <v>20</v>
      </c>
      <c r="K30" s="64">
        <f t="shared" ca="1" si="3"/>
        <v>12</v>
      </c>
      <c r="L30" s="60" t="s">
        <v>38</v>
      </c>
      <c r="M30" s="65"/>
    </row>
    <row r="31" spans="1:13" hidden="1" x14ac:dyDescent="0.25">
      <c r="A31" s="60" t="s">
        <v>58</v>
      </c>
      <c r="B31" s="60" t="s">
        <v>57</v>
      </c>
      <c r="C31" s="60" t="s">
        <v>56</v>
      </c>
      <c r="D31" s="61">
        <v>3776</v>
      </c>
      <c r="E31" s="62">
        <v>44888</v>
      </c>
      <c r="F31" s="62" t="s">
        <v>37</v>
      </c>
      <c r="G31" s="62">
        <v>45252</v>
      </c>
      <c r="H31" s="63">
        <f t="shared" ca="1" si="0"/>
        <v>0</v>
      </c>
      <c r="I31" s="63">
        <v>0</v>
      </c>
      <c r="J31" s="63">
        <f t="shared" ca="1" si="1"/>
        <v>0</v>
      </c>
      <c r="K31" s="64">
        <f t="shared" ca="1" si="3"/>
        <v>0</v>
      </c>
      <c r="L31" s="60" t="s">
        <v>38</v>
      </c>
      <c r="M31" s="65"/>
    </row>
    <row r="32" spans="1:13" hidden="1" x14ac:dyDescent="0.25">
      <c r="A32" s="60" t="s">
        <v>58</v>
      </c>
      <c r="B32" s="60" t="s">
        <v>57</v>
      </c>
      <c r="C32" s="60" t="s">
        <v>59</v>
      </c>
      <c r="D32" s="61">
        <v>3720</v>
      </c>
      <c r="E32" s="62">
        <v>44544</v>
      </c>
      <c r="F32" s="62" t="s">
        <v>37</v>
      </c>
      <c r="G32" s="62">
        <v>44908</v>
      </c>
      <c r="H32" s="63">
        <f t="shared" ca="1" si="0"/>
        <v>30</v>
      </c>
      <c r="I32" s="63">
        <v>10</v>
      </c>
      <c r="J32" s="63">
        <f t="shared" ca="1" si="1"/>
        <v>20</v>
      </c>
      <c r="K32" s="64">
        <f t="shared" ca="1" si="3"/>
        <v>12</v>
      </c>
      <c r="L32" s="60" t="s">
        <v>38</v>
      </c>
      <c r="M32" s="65"/>
    </row>
    <row r="33" spans="1:13" hidden="1" x14ac:dyDescent="0.25">
      <c r="A33" s="60" t="s">
        <v>58</v>
      </c>
      <c r="B33" s="60" t="s">
        <v>57</v>
      </c>
      <c r="C33" s="60" t="s">
        <v>59</v>
      </c>
      <c r="D33" s="61">
        <v>3720</v>
      </c>
      <c r="E33" s="62">
        <v>44909</v>
      </c>
      <c r="F33" s="62" t="s">
        <v>37</v>
      </c>
      <c r="G33" s="62">
        <v>45273</v>
      </c>
      <c r="H33" s="63">
        <f t="shared" ca="1" si="0"/>
        <v>0</v>
      </c>
      <c r="I33" s="63">
        <v>0</v>
      </c>
      <c r="J33" s="63">
        <f t="shared" ca="1" si="1"/>
        <v>0</v>
      </c>
      <c r="K33" s="64">
        <f t="shared" ca="1" si="3"/>
        <v>0</v>
      </c>
      <c r="L33" s="60" t="s">
        <v>38</v>
      </c>
      <c r="M33" s="65"/>
    </row>
    <row r="34" spans="1:13" hidden="1" x14ac:dyDescent="0.25">
      <c r="A34" s="60" t="s">
        <v>58</v>
      </c>
      <c r="B34" s="60" t="s">
        <v>57</v>
      </c>
      <c r="C34" s="60" t="s">
        <v>60</v>
      </c>
      <c r="D34" s="61">
        <v>2935</v>
      </c>
      <c r="E34" s="62">
        <v>44601</v>
      </c>
      <c r="F34" s="62" t="s">
        <v>37</v>
      </c>
      <c r="G34" s="62">
        <v>44965</v>
      </c>
      <c r="H34" s="63">
        <f t="shared" ca="1" si="0"/>
        <v>25</v>
      </c>
      <c r="I34" s="63">
        <v>0</v>
      </c>
      <c r="J34" s="63">
        <f t="shared" ca="1" si="1"/>
        <v>25</v>
      </c>
      <c r="K34" s="64">
        <f t="shared" ca="1" si="3"/>
        <v>10</v>
      </c>
      <c r="L34" s="60" t="s">
        <v>38</v>
      </c>
      <c r="M34" s="65"/>
    </row>
    <row r="35" spans="1:13" hidden="1" x14ac:dyDescent="0.25">
      <c r="A35" s="60" t="s">
        <v>58</v>
      </c>
      <c r="B35" s="60" t="s">
        <v>57</v>
      </c>
      <c r="C35" s="60" t="s">
        <v>61</v>
      </c>
      <c r="D35" s="61">
        <v>3732</v>
      </c>
      <c r="E35" s="62">
        <v>44594</v>
      </c>
      <c r="F35" s="62" t="s">
        <v>37</v>
      </c>
      <c r="G35" s="62">
        <v>44958</v>
      </c>
      <c r="H35" s="63">
        <f t="shared" ca="1" si="0"/>
        <v>25</v>
      </c>
      <c r="I35" s="63">
        <v>0</v>
      </c>
      <c r="J35" s="63">
        <f t="shared" ca="1" si="1"/>
        <v>25</v>
      </c>
      <c r="K35" s="64">
        <f t="shared" ca="1" si="3"/>
        <v>10</v>
      </c>
      <c r="L35" s="60" t="s">
        <v>38</v>
      </c>
      <c r="M35" s="65"/>
    </row>
    <row r="36" spans="1:13" hidden="1" x14ac:dyDescent="0.25">
      <c r="A36" s="60" t="s">
        <v>58</v>
      </c>
      <c r="B36" s="60" t="s">
        <v>57</v>
      </c>
      <c r="C36" s="60" t="s">
        <v>58</v>
      </c>
      <c r="D36" s="61">
        <v>2847</v>
      </c>
      <c r="E36" s="62">
        <v>44540</v>
      </c>
      <c r="F36" s="62" t="s">
        <v>37</v>
      </c>
      <c r="G36" s="62">
        <v>44904</v>
      </c>
      <c r="H36" s="63">
        <f t="shared" ca="1" si="0"/>
        <v>30</v>
      </c>
      <c r="I36" s="63">
        <v>0</v>
      </c>
      <c r="J36" s="63">
        <f t="shared" ca="1" si="1"/>
        <v>30</v>
      </c>
      <c r="K36" s="64">
        <f t="shared" ca="1" si="3"/>
        <v>12</v>
      </c>
      <c r="L36" s="60" t="s">
        <v>38</v>
      </c>
      <c r="M36" s="65"/>
    </row>
    <row r="37" spans="1:13" hidden="1" x14ac:dyDescent="0.25">
      <c r="A37" s="60" t="s">
        <v>58</v>
      </c>
      <c r="B37" s="60" t="s">
        <v>57</v>
      </c>
      <c r="C37" s="60" t="s">
        <v>58</v>
      </c>
      <c r="D37" s="61">
        <v>2847</v>
      </c>
      <c r="E37" s="62">
        <v>44905</v>
      </c>
      <c r="F37" s="62" t="s">
        <v>37</v>
      </c>
      <c r="G37" s="62">
        <v>45269</v>
      </c>
      <c r="H37" s="63">
        <f t="shared" ca="1" si="0"/>
        <v>0</v>
      </c>
      <c r="I37" s="63">
        <v>0</v>
      </c>
      <c r="J37" s="63">
        <f t="shared" ca="1" si="1"/>
        <v>0</v>
      </c>
      <c r="K37" s="64">
        <f t="shared" ca="1" si="3"/>
        <v>0</v>
      </c>
      <c r="L37" s="60" t="s">
        <v>38</v>
      </c>
      <c r="M37" s="65"/>
    </row>
    <row r="38" spans="1:13" hidden="1" x14ac:dyDescent="0.25">
      <c r="A38" s="60" t="s">
        <v>58</v>
      </c>
      <c r="B38" s="60" t="s">
        <v>57</v>
      </c>
      <c r="C38" s="60" t="s">
        <v>62</v>
      </c>
      <c r="D38" s="61">
        <v>3326</v>
      </c>
      <c r="E38" s="62">
        <v>44728</v>
      </c>
      <c r="F38" s="62" t="s">
        <v>37</v>
      </c>
      <c r="G38" s="62">
        <v>45092</v>
      </c>
      <c r="H38" s="63">
        <f t="shared" ca="1" si="0"/>
        <v>15</v>
      </c>
      <c r="I38" s="63">
        <v>0</v>
      </c>
      <c r="J38" s="63">
        <f t="shared" ca="1" si="1"/>
        <v>15</v>
      </c>
      <c r="K38" s="64">
        <f t="shared" ca="1" si="3"/>
        <v>6</v>
      </c>
      <c r="L38" s="60" t="s">
        <v>38</v>
      </c>
      <c r="M38" s="65"/>
    </row>
    <row r="39" spans="1:13" hidden="1" x14ac:dyDescent="0.25">
      <c r="A39" s="60" t="s">
        <v>58</v>
      </c>
      <c r="B39" s="60" t="s">
        <v>57</v>
      </c>
      <c r="C39" s="60" t="s">
        <v>63</v>
      </c>
      <c r="D39" s="61">
        <v>3608</v>
      </c>
      <c r="E39" s="62">
        <v>44501</v>
      </c>
      <c r="F39" s="62" t="s">
        <v>37</v>
      </c>
      <c r="G39" s="62">
        <v>44865</v>
      </c>
      <c r="H39" s="63">
        <f t="shared" ca="1" si="0"/>
        <v>30</v>
      </c>
      <c r="I39" s="63">
        <v>5</v>
      </c>
      <c r="J39" s="63">
        <f t="shared" ca="1" si="1"/>
        <v>25</v>
      </c>
      <c r="K39" s="64">
        <f t="shared" ca="1" si="3"/>
        <v>12</v>
      </c>
      <c r="L39" s="60" t="s">
        <v>38</v>
      </c>
      <c r="M39" s="65"/>
    </row>
    <row r="40" spans="1:13" hidden="1" x14ac:dyDescent="0.25">
      <c r="A40" s="60" t="s">
        <v>58</v>
      </c>
      <c r="B40" s="60" t="s">
        <v>57</v>
      </c>
      <c r="C40" s="60" t="s">
        <v>63</v>
      </c>
      <c r="D40" s="61">
        <v>3608</v>
      </c>
      <c r="E40" s="62">
        <v>44866</v>
      </c>
      <c r="F40" s="62" t="s">
        <v>37</v>
      </c>
      <c r="G40" s="62">
        <v>45230</v>
      </c>
      <c r="H40" s="63">
        <f t="shared" ca="1" si="0"/>
        <v>2.5</v>
      </c>
      <c r="I40" s="63">
        <v>0</v>
      </c>
      <c r="J40" s="63">
        <f t="shared" ca="1" si="1"/>
        <v>2.5</v>
      </c>
      <c r="K40" s="64">
        <f t="shared" ca="1" si="3"/>
        <v>1</v>
      </c>
      <c r="L40" s="60" t="s">
        <v>38</v>
      </c>
      <c r="M40" s="65"/>
    </row>
    <row r="41" spans="1:13" hidden="1" x14ac:dyDescent="0.25">
      <c r="A41" s="60" t="s">
        <v>58</v>
      </c>
      <c r="B41" s="60" t="s">
        <v>57</v>
      </c>
      <c r="C41" s="60" t="s">
        <v>64</v>
      </c>
      <c r="D41" s="61">
        <v>3723</v>
      </c>
      <c r="E41" s="62">
        <v>44547</v>
      </c>
      <c r="F41" s="62" t="s">
        <v>37</v>
      </c>
      <c r="G41" s="62">
        <v>44911</v>
      </c>
      <c r="H41" s="63">
        <f t="shared" ca="1" si="0"/>
        <v>30</v>
      </c>
      <c r="I41" s="63">
        <v>10</v>
      </c>
      <c r="J41" s="63">
        <f t="shared" ca="1" si="1"/>
        <v>20</v>
      </c>
      <c r="K41" s="64">
        <f t="shared" ca="1" si="3"/>
        <v>12</v>
      </c>
      <c r="L41" s="60" t="s">
        <v>38</v>
      </c>
      <c r="M41" s="65"/>
    </row>
    <row r="42" spans="1:13" hidden="1" x14ac:dyDescent="0.25">
      <c r="A42" s="60" t="s">
        <v>58</v>
      </c>
      <c r="B42" s="60" t="s">
        <v>57</v>
      </c>
      <c r="C42" s="60" t="s">
        <v>64</v>
      </c>
      <c r="D42" s="61">
        <v>3723</v>
      </c>
      <c r="E42" s="62">
        <v>44912</v>
      </c>
      <c r="F42" s="62" t="s">
        <v>37</v>
      </c>
      <c r="G42" s="62">
        <v>45276</v>
      </c>
      <c r="H42" s="63">
        <f t="shared" ca="1" si="0"/>
        <v>0</v>
      </c>
      <c r="I42" s="63">
        <v>0</v>
      </c>
      <c r="J42" s="63">
        <f t="shared" ca="1" si="1"/>
        <v>0</v>
      </c>
      <c r="K42" s="64">
        <f t="shared" ca="1" si="3"/>
        <v>0</v>
      </c>
      <c r="L42" s="60" t="s">
        <v>38</v>
      </c>
      <c r="M42" s="65"/>
    </row>
    <row r="43" spans="1:13" hidden="1" x14ac:dyDescent="0.25">
      <c r="A43" s="60" t="s">
        <v>58</v>
      </c>
      <c r="B43" s="60" t="s">
        <v>57</v>
      </c>
      <c r="C43" s="60" t="s">
        <v>65</v>
      </c>
      <c r="D43" s="61">
        <v>3575</v>
      </c>
      <c r="E43" s="62">
        <v>44363</v>
      </c>
      <c r="F43" s="62" t="s">
        <v>37</v>
      </c>
      <c r="G43" s="62">
        <v>44727</v>
      </c>
      <c r="H43" s="63">
        <f t="shared" ca="1" si="0"/>
        <v>30</v>
      </c>
      <c r="I43" s="63">
        <v>14</v>
      </c>
      <c r="J43" s="63">
        <f t="shared" ca="1" si="1"/>
        <v>16</v>
      </c>
      <c r="K43" s="64">
        <f t="shared" ca="1" si="3"/>
        <v>12</v>
      </c>
      <c r="L43" s="60" t="s">
        <v>38</v>
      </c>
      <c r="M43" s="65"/>
    </row>
    <row r="44" spans="1:13" hidden="1" x14ac:dyDescent="0.25">
      <c r="A44" s="60" t="s">
        <v>58</v>
      </c>
      <c r="B44" s="60" t="s">
        <v>57</v>
      </c>
      <c r="C44" s="60" t="s">
        <v>65</v>
      </c>
      <c r="D44" s="61">
        <v>3575</v>
      </c>
      <c r="E44" s="62">
        <v>44728</v>
      </c>
      <c r="F44" s="62" t="s">
        <v>37</v>
      </c>
      <c r="G44" s="62">
        <v>45092</v>
      </c>
      <c r="H44" s="63">
        <f t="shared" ca="1" si="0"/>
        <v>15</v>
      </c>
      <c r="I44" s="63">
        <v>0</v>
      </c>
      <c r="J44" s="63">
        <f t="shared" ca="1" si="1"/>
        <v>15</v>
      </c>
      <c r="K44" s="64">
        <f t="shared" ca="1" si="3"/>
        <v>6</v>
      </c>
      <c r="L44" s="60" t="s">
        <v>38</v>
      </c>
      <c r="M44" s="65"/>
    </row>
    <row r="45" spans="1:13" hidden="1" x14ac:dyDescent="0.25">
      <c r="A45" s="60" t="s">
        <v>58</v>
      </c>
      <c r="B45" s="60" t="s">
        <v>57</v>
      </c>
      <c r="C45" s="60" t="s">
        <v>66</v>
      </c>
      <c r="D45" s="61">
        <v>3785</v>
      </c>
      <c r="E45" s="62">
        <v>44613</v>
      </c>
      <c r="F45" s="62" t="s">
        <v>37</v>
      </c>
      <c r="G45" s="62">
        <v>44977</v>
      </c>
      <c r="H45" s="63">
        <f t="shared" ca="1" si="0"/>
        <v>22.5</v>
      </c>
      <c r="I45" s="63">
        <v>10</v>
      </c>
      <c r="J45" s="63">
        <f t="shared" ca="1" si="1"/>
        <v>12.5</v>
      </c>
      <c r="K45" s="64">
        <f t="shared" ca="1" si="3"/>
        <v>9</v>
      </c>
      <c r="L45" s="60" t="s">
        <v>38</v>
      </c>
      <c r="M45" s="65"/>
    </row>
    <row r="46" spans="1:13" hidden="1" x14ac:dyDescent="0.25">
      <c r="A46" s="60" t="s">
        <v>58</v>
      </c>
      <c r="B46" s="60" t="s">
        <v>57</v>
      </c>
      <c r="C46" s="60" t="s">
        <v>67</v>
      </c>
      <c r="D46" s="61">
        <v>3647</v>
      </c>
      <c r="E46" s="62">
        <v>44737</v>
      </c>
      <c r="F46" s="62" t="s">
        <v>37</v>
      </c>
      <c r="G46" s="62">
        <v>45101</v>
      </c>
      <c r="H46" s="63">
        <f t="shared" ca="1" si="0"/>
        <v>12.5</v>
      </c>
      <c r="I46" s="63">
        <v>0</v>
      </c>
      <c r="J46" s="63">
        <f t="shared" ca="1" si="1"/>
        <v>12.5</v>
      </c>
      <c r="K46" s="64">
        <f t="shared" ca="1" si="3"/>
        <v>5</v>
      </c>
      <c r="L46" s="60" t="s">
        <v>38</v>
      </c>
      <c r="M46" s="65"/>
    </row>
    <row r="47" spans="1:13" hidden="1" x14ac:dyDescent="0.25">
      <c r="A47" s="60" t="s">
        <v>58</v>
      </c>
      <c r="B47" s="60" t="s">
        <v>57</v>
      </c>
      <c r="C47" s="60" t="s">
        <v>68</v>
      </c>
      <c r="D47" s="61">
        <v>3779</v>
      </c>
      <c r="E47" s="62">
        <v>44531</v>
      </c>
      <c r="F47" s="62" t="s">
        <v>37</v>
      </c>
      <c r="G47" s="62">
        <v>44895</v>
      </c>
      <c r="H47" s="63">
        <f t="shared" ca="1" si="0"/>
        <v>30</v>
      </c>
      <c r="I47" s="63">
        <v>0</v>
      </c>
      <c r="J47" s="63">
        <f t="shared" ca="1" si="1"/>
        <v>30</v>
      </c>
      <c r="K47" s="64">
        <f t="shared" ca="1" si="3"/>
        <v>12</v>
      </c>
      <c r="L47" s="60" t="s">
        <v>38</v>
      </c>
      <c r="M47" s="65"/>
    </row>
    <row r="48" spans="1:13" hidden="1" x14ac:dyDescent="0.25">
      <c r="A48" s="60" t="s">
        <v>58</v>
      </c>
      <c r="B48" s="60" t="s">
        <v>57</v>
      </c>
      <c r="C48" s="60" t="s">
        <v>68</v>
      </c>
      <c r="D48" s="61">
        <v>3779</v>
      </c>
      <c r="E48" s="62">
        <v>44896</v>
      </c>
      <c r="F48" s="62" t="s">
        <v>37</v>
      </c>
      <c r="G48" s="62">
        <v>45260</v>
      </c>
      <c r="H48" s="63">
        <f t="shared" ca="1" si="0"/>
        <v>0</v>
      </c>
      <c r="I48" s="63">
        <v>0</v>
      </c>
      <c r="J48" s="63">
        <f t="shared" ca="1" si="1"/>
        <v>0</v>
      </c>
      <c r="K48" s="64">
        <f t="shared" ca="1" si="3"/>
        <v>0</v>
      </c>
      <c r="L48" s="60" t="s">
        <v>38</v>
      </c>
      <c r="M48" s="65"/>
    </row>
    <row r="49" spans="1:13" hidden="1" x14ac:dyDescent="0.25">
      <c r="A49" s="60" t="s">
        <v>58</v>
      </c>
      <c r="B49" s="60" t="s">
        <v>57</v>
      </c>
      <c r="C49" s="60" t="s">
        <v>69</v>
      </c>
      <c r="D49" s="61">
        <v>3792</v>
      </c>
      <c r="E49" s="62">
        <v>44713</v>
      </c>
      <c r="F49" s="62" t="s">
        <v>37</v>
      </c>
      <c r="G49" s="62">
        <v>45077</v>
      </c>
      <c r="H49" s="63">
        <f t="shared" ca="1" si="0"/>
        <v>15</v>
      </c>
      <c r="I49" s="63">
        <v>10</v>
      </c>
      <c r="J49" s="63">
        <f t="shared" ca="1" si="1"/>
        <v>5</v>
      </c>
      <c r="K49" s="64">
        <f t="shared" ca="1" si="3"/>
        <v>6</v>
      </c>
      <c r="L49" s="60" t="s">
        <v>38</v>
      </c>
      <c r="M49" s="65"/>
    </row>
    <row r="50" spans="1:13" hidden="1" x14ac:dyDescent="0.25">
      <c r="A50" s="60" t="s">
        <v>58</v>
      </c>
      <c r="B50" s="60" t="s">
        <v>57</v>
      </c>
      <c r="C50" s="60" t="s">
        <v>70</v>
      </c>
      <c r="D50" s="61">
        <v>3777</v>
      </c>
      <c r="E50" s="62">
        <v>44523</v>
      </c>
      <c r="F50" s="62" t="s">
        <v>37</v>
      </c>
      <c r="G50" s="62">
        <v>44887</v>
      </c>
      <c r="H50" s="63">
        <f t="shared" ca="1" si="0"/>
        <v>30</v>
      </c>
      <c r="I50" s="63">
        <v>10</v>
      </c>
      <c r="J50" s="63">
        <f t="shared" ca="1" si="1"/>
        <v>20</v>
      </c>
      <c r="K50" s="64">
        <f t="shared" ca="1" si="3"/>
        <v>12</v>
      </c>
      <c r="L50" s="60" t="s">
        <v>38</v>
      </c>
      <c r="M50" s="65"/>
    </row>
    <row r="51" spans="1:13" hidden="1" x14ac:dyDescent="0.25">
      <c r="A51" s="60" t="s">
        <v>58</v>
      </c>
      <c r="B51" s="60" t="s">
        <v>57</v>
      </c>
      <c r="C51" s="60" t="s">
        <v>70</v>
      </c>
      <c r="D51" s="61">
        <v>3777</v>
      </c>
      <c r="E51" s="62">
        <v>44888</v>
      </c>
      <c r="F51" s="62" t="s">
        <v>37</v>
      </c>
      <c r="G51" s="62">
        <v>45252</v>
      </c>
      <c r="H51" s="63">
        <f t="shared" ca="1" si="0"/>
        <v>0</v>
      </c>
      <c r="I51" s="63">
        <v>0</v>
      </c>
      <c r="J51" s="63">
        <f t="shared" ca="1" si="1"/>
        <v>0</v>
      </c>
      <c r="K51" s="64">
        <f t="shared" ca="1" si="3"/>
        <v>0</v>
      </c>
      <c r="L51" s="60" t="s">
        <v>38</v>
      </c>
      <c r="M51" s="65"/>
    </row>
    <row r="52" spans="1:13" hidden="1" x14ac:dyDescent="0.25">
      <c r="A52" s="60" t="s">
        <v>58</v>
      </c>
      <c r="B52" s="60" t="s">
        <v>57</v>
      </c>
      <c r="C52" s="60" t="s">
        <v>71</v>
      </c>
      <c r="D52" s="61">
        <v>3712</v>
      </c>
      <c r="E52" s="62">
        <v>44503</v>
      </c>
      <c r="F52" s="62" t="s">
        <v>37</v>
      </c>
      <c r="G52" s="62">
        <v>44867</v>
      </c>
      <c r="H52" s="63">
        <f t="shared" ca="1" si="0"/>
        <v>30</v>
      </c>
      <c r="I52" s="63">
        <v>0</v>
      </c>
      <c r="J52" s="63">
        <f t="shared" ca="1" si="1"/>
        <v>30</v>
      </c>
      <c r="K52" s="64">
        <f t="shared" ca="1" si="3"/>
        <v>12</v>
      </c>
      <c r="L52" s="60" t="s">
        <v>38</v>
      </c>
      <c r="M52" s="65"/>
    </row>
    <row r="53" spans="1:13" hidden="1" x14ac:dyDescent="0.25">
      <c r="A53" s="60" t="s">
        <v>58</v>
      </c>
      <c r="B53" s="60" t="s">
        <v>57</v>
      </c>
      <c r="C53" s="60" t="s">
        <v>71</v>
      </c>
      <c r="D53" s="61">
        <v>3712</v>
      </c>
      <c r="E53" s="62">
        <v>44868</v>
      </c>
      <c r="F53" s="62" t="s">
        <v>37</v>
      </c>
      <c r="G53" s="62">
        <v>45232</v>
      </c>
      <c r="H53" s="63">
        <f t="shared" ca="1" si="0"/>
        <v>2.5</v>
      </c>
      <c r="I53" s="63">
        <v>0</v>
      </c>
      <c r="J53" s="63">
        <f t="shared" ca="1" si="1"/>
        <v>2.5</v>
      </c>
      <c r="K53" s="64">
        <f t="shared" ca="1" si="3"/>
        <v>1</v>
      </c>
      <c r="L53" s="60" t="s">
        <v>38</v>
      </c>
      <c r="M53" s="65"/>
    </row>
    <row r="54" spans="1:13" hidden="1" x14ac:dyDescent="0.25">
      <c r="A54" s="60" t="s">
        <v>58</v>
      </c>
      <c r="B54" s="60" t="s">
        <v>57</v>
      </c>
      <c r="C54" s="60" t="s">
        <v>72</v>
      </c>
      <c r="D54" s="61">
        <v>3595</v>
      </c>
      <c r="E54" s="62">
        <v>44788</v>
      </c>
      <c r="F54" s="62" t="s">
        <v>37</v>
      </c>
      <c r="G54" s="62">
        <v>45152</v>
      </c>
      <c r="H54" s="63">
        <f t="shared" ca="1" si="0"/>
        <v>10</v>
      </c>
      <c r="I54" s="63">
        <v>10</v>
      </c>
      <c r="J54" s="63">
        <f t="shared" ca="1" si="1"/>
        <v>0</v>
      </c>
      <c r="K54" s="64">
        <f t="shared" ca="1" si="3"/>
        <v>4</v>
      </c>
      <c r="L54" s="60" t="s">
        <v>38</v>
      </c>
      <c r="M54" s="65"/>
    </row>
    <row r="55" spans="1:13" hidden="1" x14ac:dyDescent="0.25">
      <c r="A55" s="60" t="s">
        <v>58</v>
      </c>
      <c r="B55" s="60" t="s">
        <v>57</v>
      </c>
      <c r="C55" s="60" t="s">
        <v>73</v>
      </c>
      <c r="D55" s="61">
        <v>3737</v>
      </c>
      <c r="E55" s="62">
        <v>44614</v>
      </c>
      <c r="F55" s="62" t="s">
        <v>37</v>
      </c>
      <c r="G55" s="62">
        <v>44978</v>
      </c>
      <c r="H55" s="63">
        <f t="shared" ca="1" si="0"/>
        <v>22.5</v>
      </c>
      <c r="I55" s="63">
        <v>10</v>
      </c>
      <c r="J55" s="63">
        <f t="shared" ca="1" si="1"/>
        <v>12.5</v>
      </c>
      <c r="K55" s="64">
        <f t="shared" ca="1" si="3"/>
        <v>9</v>
      </c>
      <c r="L55" s="60" t="s">
        <v>38</v>
      </c>
      <c r="M55" s="65"/>
    </row>
    <row r="56" spans="1:13" hidden="1" x14ac:dyDescent="0.25">
      <c r="A56" s="60" t="s">
        <v>76</v>
      </c>
      <c r="B56" s="60" t="s">
        <v>75</v>
      </c>
      <c r="C56" s="60" t="s">
        <v>74</v>
      </c>
      <c r="D56" s="61">
        <v>3716</v>
      </c>
      <c r="E56" s="62">
        <v>44533</v>
      </c>
      <c r="F56" s="62" t="s">
        <v>37</v>
      </c>
      <c r="G56" s="62">
        <v>44897</v>
      </c>
      <c r="H56" s="63">
        <f t="shared" ca="1" si="0"/>
        <v>30</v>
      </c>
      <c r="I56" s="63">
        <v>0</v>
      </c>
      <c r="J56" s="63">
        <f t="shared" ca="1" si="1"/>
        <v>30</v>
      </c>
      <c r="K56" s="64">
        <f t="shared" ca="1" si="3"/>
        <v>12</v>
      </c>
      <c r="L56" s="60" t="s">
        <v>38</v>
      </c>
      <c r="M56" s="65"/>
    </row>
    <row r="57" spans="1:13" hidden="1" x14ac:dyDescent="0.25">
      <c r="A57" s="60" t="s">
        <v>76</v>
      </c>
      <c r="B57" s="60" t="s">
        <v>75</v>
      </c>
      <c r="C57" s="60" t="s">
        <v>74</v>
      </c>
      <c r="D57" s="61">
        <v>3716</v>
      </c>
      <c r="E57" s="62">
        <v>44898</v>
      </c>
      <c r="F57" s="62" t="s">
        <v>37</v>
      </c>
      <c r="G57" s="62">
        <v>45262</v>
      </c>
      <c r="H57" s="63">
        <f t="shared" ca="1" si="0"/>
        <v>0</v>
      </c>
      <c r="I57" s="63">
        <v>0</v>
      </c>
      <c r="J57" s="63">
        <f t="shared" ca="1" si="1"/>
        <v>0</v>
      </c>
      <c r="K57" s="64">
        <f t="shared" ca="1" si="3"/>
        <v>0</v>
      </c>
      <c r="L57" s="60" t="s">
        <v>38</v>
      </c>
      <c r="M57" s="65"/>
    </row>
    <row r="58" spans="1:13" hidden="1" x14ac:dyDescent="0.25">
      <c r="A58" s="60" t="s">
        <v>76</v>
      </c>
      <c r="B58" s="60" t="s">
        <v>75</v>
      </c>
      <c r="C58" s="60" t="s">
        <v>77</v>
      </c>
      <c r="D58" s="61">
        <v>2898</v>
      </c>
      <c r="E58" s="62">
        <v>44356</v>
      </c>
      <c r="F58" s="62" t="s">
        <v>37</v>
      </c>
      <c r="G58" s="62">
        <v>44720</v>
      </c>
      <c r="H58" s="63">
        <f t="shared" ca="1" si="0"/>
        <v>30</v>
      </c>
      <c r="I58" s="63">
        <v>0</v>
      </c>
      <c r="J58" s="63">
        <f t="shared" ca="1" si="1"/>
        <v>30</v>
      </c>
      <c r="K58" s="64">
        <f t="shared" ca="1" si="3"/>
        <v>12</v>
      </c>
      <c r="L58" s="60" t="s">
        <v>38</v>
      </c>
      <c r="M58" s="65"/>
    </row>
    <row r="59" spans="1:13" hidden="1" x14ac:dyDescent="0.25">
      <c r="A59" s="60" t="s">
        <v>76</v>
      </c>
      <c r="B59" s="60" t="s">
        <v>75</v>
      </c>
      <c r="C59" s="60" t="s">
        <v>77</v>
      </c>
      <c r="D59" s="61">
        <v>2898</v>
      </c>
      <c r="E59" s="62">
        <v>44721</v>
      </c>
      <c r="F59" s="62" t="s">
        <v>37</v>
      </c>
      <c r="G59" s="62">
        <v>45085</v>
      </c>
      <c r="H59" s="63">
        <f t="shared" ca="1" si="0"/>
        <v>15</v>
      </c>
      <c r="I59" s="63">
        <v>0</v>
      </c>
      <c r="J59" s="63">
        <f t="shared" ca="1" si="1"/>
        <v>15</v>
      </c>
      <c r="K59" s="64">
        <f t="shared" ca="1" si="3"/>
        <v>6</v>
      </c>
      <c r="L59" s="60" t="s">
        <v>38</v>
      </c>
      <c r="M59" s="65"/>
    </row>
    <row r="60" spans="1:13" hidden="1" x14ac:dyDescent="0.25">
      <c r="A60" s="60" t="s">
        <v>76</v>
      </c>
      <c r="B60" s="60" t="s">
        <v>75</v>
      </c>
      <c r="C60" s="60" t="s">
        <v>78</v>
      </c>
      <c r="D60" s="61">
        <v>3626</v>
      </c>
      <c r="E60" s="62">
        <v>44759</v>
      </c>
      <c r="F60" s="62" t="s">
        <v>37</v>
      </c>
      <c r="G60" s="62">
        <v>45123</v>
      </c>
      <c r="H60" s="63">
        <f t="shared" ca="1" si="0"/>
        <v>12.5</v>
      </c>
      <c r="I60" s="63">
        <v>0</v>
      </c>
      <c r="J60" s="63">
        <f t="shared" ca="1" si="1"/>
        <v>12.5</v>
      </c>
      <c r="K60" s="64">
        <f t="shared" ca="1" si="3"/>
        <v>5</v>
      </c>
      <c r="L60" s="60" t="s">
        <v>38</v>
      </c>
      <c r="M60" s="65"/>
    </row>
    <row r="61" spans="1:13" hidden="1" x14ac:dyDescent="0.25">
      <c r="A61" s="60" t="s">
        <v>36</v>
      </c>
      <c r="B61" s="60" t="s">
        <v>80</v>
      </c>
      <c r="C61" s="60" t="s">
        <v>79</v>
      </c>
      <c r="D61" s="61">
        <v>3727</v>
      </c>
      <c r="E61" s="62">
        <v>44221</v>
      </c>
      <c r="F61" s="62" t="s">
        <v>37</v>
      </c>
      <c r="G61" s="62">
        <v>44585</v>
      </c>
      <c r="H61" s="63">
        <f t="shared" ca="1" si="0"/>
        <v>30</v>
      </c>
      <c r="I61" s="63">
        <v>5</v>
      </c>
      <c r="J61" s="63">
        <f t="shared" ca="1" si="1"/>
        <v>25</v>
      </c>
      <c r="K61" s="64">
        <f t="shared" ca="1" si="3"/>
        <v>12</v>
      </c>
      <c r="L61" s="60" t="s">
        <v>38</v>
      </c>
      <c r="M61" s="65"/>
    </row>
    <row r="62" spans="1:13" hidden="1" x14ac:dyDescent="0.25">
      <c r="A62" s="60" t="s">
        <v>36</v>
      </c>
      <c r="B62" s="60" t="s">
        <v>80</v>
      </c>
      <c r="C62" s="60" t="s">
        <v>79</v>
      </c>
      <c r="D62" s="61">
        <v>3727</v>
      </c>
      <c r="E62" s="62">
        <v>44586</v>
      </c>
      <c r="F62" s="62" t="s">
        <v>37</v>
      </c>
      <c r="G62" s="62">
        <v>44950</v>
      </c>
      <c r="H62" s="63">
        <f t="shared" ca="1" si="0"/>
        <v>25</v>
      </c>
      <c r="I62" s="63">
        <v>0</v>
      </c>
      <c r="J62" s="63">
        <f t="shared" ca="1" si="1"/>
        <v>25</v>
      </c>
      <c r="K62" s="64">
        <f t="shared" ca="1" si="3"/>
        <v>10</v>
      </c>
      <c r="L62" s="60" t="s">
        <v>38</v>
      </c>
      <c r="M62" s="65"/>
    </row>
    <row r="63" spans="1:13" hidden="1" x14ac:dyDescent="0.25">
      <c r="A63" s="60" t="s">
        <v>36</v>
      </c>
      <c r="B63" s="60" t="s">
        <v>80</v>
      </c>
      <c r="C63" s="60" t="s">
        <v>81</v>
      </c>
      <c r="D63" s="61">
        <v>3489</v>
      </c>
      <c r="E63" s="62">
        <v>44493</v>
      </c>
      <c r="F63" s="62" t="s">
        <v>37</v>
      </c>
      <c r="G63" s="62">
        <v>44857</v>
      </c>
      <c r="H63" s="63">
        <f t="shared" ca="1" si="0"/>
        <v>30</v>
      </c>
      <c r="I63" s="63">
        <v>0</v>
      </c>
      <c r="J63" s="63">
        <f t="shared" ca="1" si="1"/>
        <v>30</v>
      </c>
      <c r="K63" s="64">
        <f t="shared" ca="1" si="3"/>
        <v>12</v>
      </c>
      <c r="L63" s="60" t="s">
        <v>38</v>
      </c>
      <c r="M63" s="65"/>
    </row>
    <row r="64" spans="1:13" hidden="1" x14ac:dyDescent="0.25">
      <c r="A64" s="60" t="s">
        <v>36</v>
      </c>
      <c r="B64" s="60" t="s">
        <v>80</v>
      </c>
      <c r="C64" s="60" t="s">
        <v>81</v>
      </c>
      <c r="D64" s="61">
        <v>3489</v>
      </c>
      <c r="E64" s="62">
        <v>44858</v>
      </c>
      <c r="F64" s="62" t="s">
        <v>37</v>
      </c>
      <c r="G64" s="62">
        <v>45222</v>
      </c>
      <c r="H64" s="63">
        <f t="shared" ca="1" si="0"/>
        <v>2.5</v>
      </c>
      <c r="I64" s="63">
        <v>0</v>
      </c>
      <c r="J64" s="63">
        <f t="shared" ca="1" si="1"/>
        <v>2.5</v>
      </c>
      <c r="K64" s="64">
        <f t="shared" ca="1" si="3"/>
        <v>1</v>
      </c>
      <c r="L64" s="60" t="s">
        <v>38</v>
      </c>
      <c r="M64" s="65"/>
    </row>
    <row r="65" spans="1:13" hidden="1" x14ac:dyDescent="0.25">
      <c r="A65" s="60" t="s">
        <v>36</v>
      </c>
      <c r="B65" s="60" t="s">
        <v>80</v>
      </c>
      <c r="C65" s="60" t="s">
        <v>82</v>
      </c>
      <c r="D65" s="61">
        <v>3702</v>
      </c>
      <c r="E65" s="62">
        <v>44341</v>
      </c>
      <c r="F65" s="62" t="s">
        <v>37</v>
      </c>
      <c r="G65" s="62">
        <v>44705</v>
      </c>
      <c r="H65" s="63">
        <f t="shared" ca="1" si="0"/>
        <v>30</v>
      </c>
      <c r="I65" s="63">
        <v>0</v>
      </c>
      <c r="J65" s="63">
        <f t="shared" ca="1" si="1"/>
        <v>30</v>
      </c>
      <c r="K65" s="64">
        <f t="shared" ca="1" si="3"/>
        <v>12</v>
      </c>
      <c r="L65" s="60" t="s">
        <v>38</v>
      </c>
      <c r="M65" s="65"/>
    </row>
    <row r="66" spans="1:13" hidden="1" x14ac:dyDescent="0.25">
      <c r="A66" s="60" t="s">
        <v>36</v>
      </c>
      <c r="B66" s="60" t="s">
        <v>80</v>
      </c>
      <c r="C66" s="60" t="s">
        <v>82</v>
      </c>
      <c r="D66" s="61">
        <v>3702</v>
      </c>
      <c r="E66" s="62">
        <v>44706</v>
      </c>
      <c r="F66" s="62" t="s">
        <v>37</v>
      </c>
      <c r="G66" s="62">
        <v>45070</v>
      </c>
      <c r="H66" s="63">
        <f t="shared" ca="1" si="0"/>
        <v>15</v>
      </c>
      <c r="I66" s="63">
        <v>0</v>
      </c>
      <c r="J66" s="63">
        <f t="shared" ca="1" si="1"/>
        <v>15</v>
      </c>
      <c r="K66" s="64">
        <f t="shared" ca="1" si="3"/>
        <v>6</v>
      </c>
      <c r="L66" s="60" t="s">
        <v>38</v>
      </c>
      <c r="M66" s="65"/>
    </row>
    <row r="67" spans="1:13" hidden="1" x14ac:dyDescent="0.25">
      <c r="A67" s="60" t="s">
        <v>85</v>
      </c>
      <c r="B67" s="60" t="s">
        <v>84</v>
      </c>
      <c r="C67" s="60" t="s">
        <v>83</v>
      </c>
      <c r="D67" s="61">
        <v>3774</v>
      </c>
      <c r="E67" s="62">
        <v>44522</v>
      </c>
      <c r="F67" s="62" t="s">
        <v>37</v>
      </c>
      <c r="G67" s="62">
        <v>44886</v>
      </c>
      <c r="H67" s="63">
        <f t="shared" ca="1" si="0"/>
        <v>30</v>
      </c>
      <c r="I67" s="63">
        <v>5</v>
      </c>
      <c r="J67" s="63">
        <f t="shared" ca="1" si="1"/>
        <v>25</v>
      </c>
      <c r="K67" s="64">
        <f t="shared" ca="1" si="3"/>
        <v>12</v>
      </c>
      <c r="L67" s="60" t="s">
        <v>38</v>
      </c>
      <c r="M67" s="65"/>
    </row>
    <row r="68" spans="1:13" hidden="1" x14ac:dyDescent="0.25">
      <c r="A68" s="60" t="s">
        <v>85</v>
      </c>
      <c r="B68" s="60" t="s">
        <v>84</v>
      </c>
      <c r="C68" s="60" t="s">
        <v>83</v>
      </c>
      <c r="D68" s="61">
        <v>3774</v>
      </c>
      <c r="E68" s="62">
        <v>44887</v>
      </c>
      <c r="F68" s="62" t="s">
        <v>37</v>
      </c>
      <c r="G68" s="62">
        <v>45251</v>
      </c>
      <c r="H68" s="63">
        <f t="shared" ref="H68:H131" ca="1" si="4">IFERROR(IF(((DATEDIF(E68,M$2,"m"))*2.5)&gt;30,30,((DATEDIF(E68,M$2,"m"))*2.5)),"-")</f>
        <v>0</v>
      </c>
      <c r="I68" s="63">
        <v>0</v>
      </c>
      <c r="J68" s="63">
        <f t="shared" ca="1" si="1"/>
        <v>0</v>
      </c>
      <c r="K68" s="64">
        <f t="shared" ca="1" si="3"/>
        <v>0</v>
      </c>
      <c r="L68" s="60" t="s">
        <v>38</v>
      </c>
      <c r="M68" s="65"/>
    </row>
    <row r="69" spans="1:13" hidden="1" x14ac:dyDescent="0.25">
      <c r="A69" s="60" t="s">
        <v>85</v>
      </c>
      <c r="B69" s="60" t="s">
        <v>84</v>
      </c>
      <c r="C69" s="60" t="s">
        <v>86</v>
      </c>
      <c r="D69" s="61">
        <v>3029</v>
      </c>
      <c r="E69" s="62">
        <v>44393</v>
      </c>
      <c r="F69" s="62" t="s">
        <v>37</v>
      </c>
      <c r="G69" s="62">
        <v>44757</v>
      </c>
      <c r="H69" s="63">
        <f t="shared" ca="1" si="4"/>
        <v>30</v>
      </c>
      <c r="I69" s="63">
        <v>5</v>
      </c>
      <c r="J69" s="63">
        <f t="shared" ref="J69:J132" ca="1" si="5">IFERROR(H69-I69,"-")</f>
        <v>25</v>
      </c>
      <c r="K69" s="64">
        <f t="shared" ca="1" si="3"/>
        <v>12</v>
      </c>
      <c r="L69" s="60" t="s">
        <v>38</v>
      </c>
      <c r="M69" s="65"/>
    </row>
    <row r="70" spans="1:13" hidden="1" x14ac:dyDescent="0.25">
      <c r="A70" s="60" t="s">
        <v>85</v>
      </c>
      <c r="B70" s="60" t="s">
        <v>84</v>
      </c>
      <c r="C70" s="60" t="s">
        <v>86</v>
      </c>
      <c r="D70" s="61">
        <v>3029</v>
      </c>
      <c r="E70" s="62">
        <v>44758</v>
      </c>
      <c r="F70" s="62" t="s">
        <v>37</v>
      </c>
      <c r="G70" s="62">
        <v>45122</v>
      </c>
      <c r="H70" s="63">
        <f t="shared" ca="1" si="4"/>
        <v>12.5</v>
      </c>
      <c r="I70" s="63">
        <v>0</v>
      </c>
      <c r="J70" s="63">
        <f t="shared" ca="1" si="5"/>
        <v>12.5</v>
      </c>
      <c r="K70" s="64">
        <f t="shared" ca="1" si="3"/>
        <v>5</v>
      </c>
      <c r="L70" s="60" t="s">
        <v>38</v>
      </c>
      <c r="M70" s="65"/>
    </row>
    <row r="71" spans="1:13" hidden="1" x14ac:dyDescent="0.25">
      <c r="A71" s="60" t="s">
        <v>85</v>
      </c>
      <c r="B71" s="60" t="s">
        <v>84</v>
      </c>
      <c r="C71" s="60" t="s">
        <v>87</v>
      </c>
      <c r="D71" s="61">
        <v>3772</v>
      </c>
      <c r="E71" s="62">
        <v>44503</v>
      </c>
      <c r="F71" s="62" t="s">
        <v>37</v>
      </c>
      <c r="G71" s="62">
        <v>44867</v>
      </c>
      <c r="H71" s="63">
        <f t="shared" ca="1" si="4"/>
        <v>30</v>
      </c>
      <c r="I71" s="63">
        <v>5</v>
      </c>
      <c r="J71" s="63">
        <f t="shared" ca="1" si="5"/>
        <v>25</v>
      </c>
      <c r="K71" s="64">
        <f t="shared" ca="1" si="3"/>
        <v>12</v>
      </c>
      <c r="L71" s="60" t="s">
        <v>38</v>
      </c>
      <c r="M71" s="65"/>
    </row>
    <row r="72" spans="1:13" hidden="1" x14ac:dyDescent="0.25">
      <c r="A72" s="60" t="s">
        <v>85</v>
      </c>
      <c r="B72" s="60" t="s">
        <v>84</v>
      </c>
      <c r="C72" s="60" t="s">
        <v>87</v>
      </c>
      <c r="D72" s="61">
        <v>3772</v>
      </c>
      <c r="E72" s="62">
        <v>44868</v>
      </c>
      <c r="F72" s="62" t="s">
        <v>37</v>
      </c>
      <c r="G72" s="62">
        <v>45232</v>
      </c>
      <c r="H72" s="63">
        <f t="shared" ca="1" si="4"/>
        <v>2.5</v>
      </c>
      <c r="I72" s="63">
        <v>0</v>
      </c>
      <c r="J72" s="63">
        <f t="shared" ca="1" si="5"/>
        <v>2.5</v>
      </c>
      <c r="K72" s="64">
        <f t="shared" ca="1" si="3"/>
        <v>1</v>
      </c>
      <c r="L72" s="60" t="s">
        <v>38</v>
      </c>
      <c r="M72" s="65"/>
    </row>
    <row r="73" spans="1:13" hidden="1" x14ac:dyDescent="0.25">
      <c r="A73" s="60" t="s">
        <v>85</v>
      </c>
      <c r="B73" s="60" t="s">
        <v>84</v>
      </c>
      <c r="C73" s="60" t="s">
        <v>88</v>
      </c>
      <c r="D73" s="61">
        <v>3547</v>
      </c>
      <c r="E73" s="62">
        <v>44626</v>
      </c>
      <c r="F73" s="62" t="s">
        <v>37</v>
      </c>
      <c r="G73" s="62">
        <v>44990</v>
      </c>
      <c r="H73" s="63">
        <f t="shared" ca="1" si="4"/>
        <v>22.5</v>
      </c>
      <c r="I73" s="63">
        <v>0</v>
      </c>
      <c r="J73" s="63">
        <f t="shared" ca="1" si="5"/>
        <v>22.5</v>
      </c>
      <c r="K73" s="64">
        <f t="shared" ca="1" si="3"/>
        <v>9</v>
      </c>
      <c r="L73" s="60" t="s">
        <v>38</v>
      </c>
      <c r="M73" s="65"/>
    </row>
    <row r="74" spans="1:13" hidden="1" x14ac:dyDescent="0.25">
      <c r="A74" s="60" t="s">
        <v>85</v>
      </c>
      <c r="B74" s="60" t="s">
        <v>84</v>
      </c>
      <c r="C74" s="60" t="s">
        <v>89</v>
      </c>
      <c r="D74" s="61">
        <v>3561</v>
      </c>
      <c r="E74" s="62">
        <v>44496</v>
      </c>
      <c r="F74" s="62" t="s">
        <v>37</v>
      </c>
      <c r="G74" s="62">
        <v>44860</v>
      </c>
      <c r="H74" s="63">
        <f t="shared" ca="1" si="4"/>
        <v>30</v>
      </c>
      <c r="I74" s="63">
        <v>5</v>
      </c>
      <c r="J74" s="63">
        <f t="shared" ca="1" si="5"/>
        <v>25</v>
      </c>
      <c r="K74" s="64">
        <f t="shared" ref="K74:K137" ca="1" si="6">IFERROR(IF((DATEDIF(E74,M$2,"m"))&gt;12,12,(DATEDIF(E74,M$2,"m"))),"-")</f>
        <v>12</v>
      </c>
      <c r="L74" s="60" t="s">
        <v>38</v>
      </c>
      <c r="M74" s="65"/>
    </row>
    <row r="75" spans="1:13" hidden="1" x14ac:dyDescent="0.25">
      <c r="A75" s="60" t="s">
        <v>85</v>
      </c>
      <c r="B75" s="60" t="s">
        <v>84</v>
      </c>
      <c r="C75" s="60" t="s">
        <v>89</v>
      </c>
      <c r="D75" s="61">
        <v>3561</v>
      </c>
      <c r="E75" s="62">
        <v>44861</v>
      </c>
      <c r="F75" s="62" t="s">
        <v>37</v>
      </c>
      <c r="G75" s="62">
        <v>45225</v>
      </c>
      <c r="H75" s="63">
        <f t="shared" ca="1" si="4"/>
        <v>2.5</v>
      </c>
      <c r="I75" s="63">
        <v>0</v>
      </c>
      <c r="J75" s="63">
        <f t="shared" ca="1" si="5"/>
        <v>2.5</v>
      </c>
      <c r="K75" s="64">
        <f t="shared" ca="1" si="6"/>
        <v>1</v>
      </c>
      <c r="L75" s="60" t="s">
        <v>38</v>
      </c>
      <c r="M75" s="65"/>
    </row>
    <row r="76" spans="1:13" hidden="1" x14ac:dyDescent="0.25">
      <c r="A76" s="60" t="s">
        <v>85</v>
      </c>
      <c r="B76" s="60" t="s">
        <v>84</v>
      </c>
      <c r="C76" s="60" t="s">
        <v>90</v>
      </c>
      <c r="D76" s="61">
        <v>3047</v>
      </c>
      <c r="E76" s="62">
        <v>44613</v>
      </c>
      <c r="F76" s="62" t="s">
        <v>37</v>
      </c>
      <c r="G76" s="62">
        <v>44977</v>
      </c>
      <c r="H76" s="63">
        <f t="shared" ca="1" si="4"/>
        <v>22.5</v>
      </c>
      <c r="I76" s="63">
        <v>0</v>
      </c>
      <c r="J76" s="63">
        <f t="shared" ca="1" si="5"/>
        <v>22.5</v>
      </c>
      <c r="K76" s="64">
        <f t="shared" ca="1" si="6"/>
        <v>9</v>
      </c>
      <c r="L76" s="60" t="s">
        <v>38</v>
      </c>
      <c r="M76" s="65"/>
    </row>
    <row r="77" spans="1:13" hidden="1" x14ac:dyDescent="0.25">
      <c r="A77" s="60" t="s">
        <v>85</v>
      </c>
      <c r="B77" s="60" t="s">
        <v>84</v>
      </c>
      <c r="C77" s="60" t="s">
        <v>91</v>
      </c>
      <c r="D77" s="61">
        <v>3733</v>
      </c>
      <c r="E77" s="62">
        <v>44594</v>
      </c>
      <c r="F77" s="62" t="s">
        <v>37</v>
      </c>
      <c r="G77" s="62">
        <v>44958</v>
      </c>
      <c r="H77" s="63">
        <f t="shared" ca="1" si="4"/>
        <v>25</v>
      </c>
      <c r="I77" s="63">
        <v>0</v>
      </c>
      <c r="J77" s="63">
        <f t="shared" ca="1" si="5"/>
        <v>25</v>
      </c>
      <c r="K77" s="64">
        <f t="shared" ca="1" si="6"/>
        <v>10</v>
      </c>
      <c r="L77" s="60" t="s">
        <v>38</v>
      </c>
      <c r="M77" s="65"/>
    </row>
    <row r="78" spans="1:13" hidden="1" x14ac:dyDescent="0.25">
      <c r="A78" s="60" t="s">
        <v>85</v>
      </c>
      <c r="B78" s="60" t="s">
        <v>84</v>
      </c>
      <c r="C78" s="60" t="s">
        <v>85</v>
      </c>
      <c r="D78" s="61">
        <v>1998</v>
      </c>
      <c r="E78" s="62">
        <v>44409</v>
      </c>
      <c r="F78" s="62" t="s">
        <v>37</v>
      </c>
      <c r="G78" s="62">
        <v>44773</v>
      </c>
      <c r="H78" s="63">
        <f t="shared" ca="1" si="4"/>
        <v>30</v>
      </c>
      <c r="I78" s="63">
        <v>0</v>
      </c>
      <c r="J78" s="63">
        <f t="shared" ca="1" si="5"/>
        <v>30</v>
      </c>
      <c r="K78" s="64">
        <f t="shared" ca="1" si="6"/>
        <v>12</v>
      </c>
      <c r="L78" s="60" t="s">
        <v>38</v>
      </c>
      <c r="M78" s="65"/>
    </row>
    <row r="79" spans="1:13" hidden="1" x14ac:dyDescent="0.25">
      <c r="A79" s="60" t="s">
        <v>85</v>
      </c>
      <c r="B79" s="60" t="s">
        <v>84</v>
      </c>
      <c r="C79" s="60" t="s">
        <v>85</v>
      </c>
      <c r="D79" s="61">
        <v>1998</v>
      </c>
      <c r="E79" s="62">
        <v>44774</v>
      </c>
      <c r="F79" s="62" t="s">
        <v>37</v>
      </c>
      <c r="G79" s="62">
        <v>45138</v>
      </c>
      <c r="H79" s="63">
        <f t="shared" ca="1" si="4"/>
        <v>10</v>
      </c>
      <c r="I79" s="63">
        <v>0</v>
      </c>
      <c r="J79" s="63">
        <f t="shared" ca="1" si="5"/>
        <v>10</v>
      </c>
      <c r="K79" s="64">
        <f t="shared" ca="1" si="6"/>
        <v>4</v>
      </c>
      <c r="L79" s="60" t="s">
        <v>38</v>
      </c>
      <c r="M79" s="65"/>
    </row>
    <row r="80" spans="1:13" hidden="1" x14ac:dyDescent="0.25">
      <c r="A80" s="60" t="s">
        <v>85</v>
      </c>
      <c r="B80" s="60" t="s">
        <v>84</v>
      </c>
      <c r="C80" s="60" t="s">
        <v>92</v>
      </c>
      <c r="D80" s="61">
        <v>3071</v>
      </c>
      <c r="E80" s="62">
        <v>44725</v>
      </c>
      <c r="F80" s="62" t="s">
        <v>37</v>
      </c>
      <c r="G80" s="62">
        <v>45089</v>
      </c>
      <c r="H80" s="63">
        <f t="shared" ca="1" si="4"/>
        <v>15</v>
      </c>
      <c r="I80" s="63">
        <v>0</v>
      </c>
      <c r="J80" s="63">
        <f t="shared" ca="1" si="5"/>
        <v>15</v>
      </c>
      <c r="K80" s="64">
        <f t="shared" ca="1" si="6"/>
        <v>6</v>
      </c>
      <c r="L80" s="60" t="s">
        <v>38</v>
      </c>
      <c r="M80" s="65"/>
    </row>
    <row r="81" spans="1:13" hidden="1" x14ac:dyDescent="0.25">
      <c r="A81" s="60" t="s">
        <v>95</v>
      </c>
      <c r="B81" s="60" t="s">
        <v>94</v>
      </c>
      <c r="C81" s="60" t="s">
        <v>93</v>
      </c>
      <c r="D81" s="61">
        <v>3704</v>
      </c>
      <c r="E81" s="62">
        <v>44369</v>
      </c>
      <c r="F81" s="62" t="s">
        <v>37</v>
      </c>
      <c r="G81" s="62">
        <v>44733</v>
      </c>
      <c r="H81" s="63">
        <f t="shared" ca="1" si="4"/>
        <v>30</v>
      </c>
      <c r="I81" s="63">
        <v>0</v>
      </c>
      <c r="J81" s="63">
        <f t="shared" ca="1" si="5"/>
        <v>30</v>
      </c>
      <c r="K81" s="64">
        <f t="shared" ca="1" si="6"/>
        <v>12</v>
      </c>
      <c r="L81" s="60" t="s">
        <v>38</v>
      </c>
      <c r="M81" s="65"/>
    </row>
    <row r="82" spans="1:13" hidden="1" x14ac:dyDescent="0.25">
      <c r="A82" s="60" t="s">
        <v>95</v>
      </c>
      <c r="B82" s="60" t="s">
        <v>94</v>
      </c>
      <c r="C82" s="60" t="s">
        <v>93</v>
      </c>
      <c r="D82" s="61">
        <v>3704</v>
      </c>
      <c r="E82" s="62">
        <v>44734</v>
      </c>
      <c r="F82" s="62" t="s">
        <v>37</v>
      </c>
      <c r="G82" s="62">
        <v>45098</v>
      </c>
      <c r="H82" s="63">
        <f t="shared" ca="1" si="4"/>
        <v>12.5</v>
      </c>
      <c r="I82" s="63">
        <v>0</v>
      </c>
      <c r="J82" s="63">
        <f t="shared" ca="1" si="5"/>
        <v>12.5</v>
      </c>
      <c r="K82" s="64">
        <f t="shared" ca="1" si="6"/>
        <v>5</v>
      </c>
      <c r="L82" s="60" t="s">
        <v>38</v>
      </c>
      <c r="M82" s="65"/>
    </row>
    <row r="83" spans="1:13" hidden="1" x14ac:dyDescent="0.25">
      <c r="A83" s="60" t="s">
        <v>95</v>
      </c>
      <c r="B83" s="60" t="s">
        <v>94</v>
      </c>
      <c r="C83" s="60" t="s">
        <v>96</v>
      </c>
      <c r="D83" s="61">
        <v>3761</v>
      </c>
      <c r="E83" s="62">
        <v>44426</v>
      </c>
      <c r="F83" s="62" t="s">
        <v>37</v>
      </c>
      <c r="G83" s="62">
        <v>44790</v>
      </c>
      <c r="H83" s="63">
        <f t="shared" ca="1" si="4"/>
        <v>30</v>
      </c>
      <c r="I83" s="63">
        <v>0</v>
      </c>
      <c r="J83" s="63">
        <f t="shared" ca="1" si="5"/>
        <v>30</v>
      </c>
      <c r="K83" s="64">
        <f t="shared" ca="1" si="6"/>
        <v>12</v>
      </c>
      <c r="L83" s="60" t="s">
        <v>38</v>
      </c>
      <c r="M83" s="65"/>
    </row>
    <row r="84" spans="1:13" hidden="1" x14ac:dyDescent="0.25">
      <c r="A84" s="60" t="s">
        <v>95</v>
      </c>
      <c r="B84" s="60" t="s">
        <v>94</v>
      </c>
      <c r="C84" s="60" t="s">
        <v>96</v>
      </c>
      <c r="D84" s="61">
        <v>3761</v>
      </c>
      <c r="E84" s="62">
        <v>44791</v>
      </c>
      <c r="F84" s="62" t="s">
        <v>37</v>
      </c>
      <c r="G84" s="62">
        <v>45155</v>
      </c>
      <c r="H84" s="63">
        <f t="shared" ca="1" si="4"/>
        <v>10</v>
      </c>
      <c r="I84" s="63">
        <v>0</v>
      </c>
      <c r="J84" s="63">
        <f t="shared" ca="1" si="5"/>
        <v>10</v>
      </c>
      <c r="K84" s="64">
        <f t="shared" ca="1" si="6"/>
        <v>4</v>
      </c>
      <c r="L84" s="60" t="s">
        <v>38</v>
      </c>
      <c r="M84" s="65"/>
    </row>
    <row r="85" spans="1:13" hidden="1" x14ac:dyDescent="0.25">
      <c r="A85" s="60" t="s">
        <v>95</v>
      </c>
      <c r="B85" s="60" t="s">
        <v>94</v>
      </c>
      <c r="C85" s="60" t="s">
        <v>97</v>
      </c>
      <c r="D85" s="61">
        <v>3759</v>
      </c>
      <c r="E85" s="62">
        <v>44419</v>
      </c>
      <c r="F85" s="62" t="s">
        <v>37</v>
      </c>
      <c r="G85" s="62">
        <v>44783</v>
      </c>
      <c r="H85" s="63">
        <f t="shared" ca="1" si="4"/>
        <v>30</v>
      </c>
      <c r="I85" s="63">
        <v>15</v>
      </c>
      <c r="J85" s="63">
        <f t="shared" ca="1" si="5"/>
        <v>15</v>
      </c>
      <c r="K85" s="64">
        <f t="shared" ca="1" si="6"/>
        <v>12</v>
      </c>
      <c r="L85" s="60" t="s">
        <v>38</v>
      </c>
      <c r="M85" s="65"/>
    </row>
    <row r="86" spans="1:13" hidden="1" x14ac:dyDescent="0.25">
      <c r="A86" s="60" t="s">
        <v>95</v>
      </c>
      <c r="B86" s="60" t="s">
        <v>94</v>
      </c>
      <c r="C86" s="60" t="s">
        <v>97</v>
      </c>
      <c r="D86" s="61">
        <v>3759</v>
      </c>
      <c r="E86" s="62">
        <v>44784</v>
      </c>
      <c r="F86" s="62" t="s">
        <v>37</v>
      </c>
      <c r="G86" s="62">
        <v>45148</v>
      </c>
      <c r="H86" s="63">
        <f t="shared" ca="1" si="4"/>
        <v>10</v>
      </c>
      <c r="I86" s="63">
        <v>0</v>
      </c>
      <c r="J86" s="63">
        <f t="shared" ca="1" si="5"/>
        <v>10</v>
      </c>
      <c r="K86" s="64">
        <f t="shared" ca="1" si="6"/>
        <v>4</v>
      </c>
      <c r="L86" s="60" t="s">
        <v>38</v>
      </c>
      <c r="M86" s="65"/>
    </row>
    <row r="87" spans="1:13" hidden="1" x14ac:dyDescent="0.25">
      <c r="A87" s="60" t="s">
        <v>95</v>
      </c>
      <c r="B87" s="60" t="s">
        <v>94</v>
      </c>
      <c r="C87" s="60" t="s">
        <v>98</v>
      </c>
      <c r="D87" s="61">
        <v>3685</v>
      </c>
      <c r="E87" s="62">
        <v>44532</v>
      </c>
      <c r="F87" s="62" t="s">
        <v>37</v>
      </c>
      <c r="G87" s="62">
        <v>44896</v>
      </c>
      <c r="H87" s="63">
        <f t="shared" ca="1" si="4"/>
        <v>30</v>
      </c>
      <c r="I87" s="63">
        <v>0</v>
      </c>
      <c r="J87" s="63">
        <f t="shared" ca="1" si="5"/>
        <v>30</v>
      </c>
      <c r="K87" s="64">
        <f t="shared" ca="1" si="6"/>
        <v>12</v>
      </c>
      <c r="L87" s="60" t="s">
        <v>38</v>
      </c>
      <c r="M87" s="65"/>
    </row>
    <row r="88" spans="1:13" hidden="1" x14ac:dyDescent="0.25">
      <c r="A88" s="60" t="s">
        <v>95</v>
      </c>
      <c r="B88" s="60" t="s">
        <v>94</v>
      </c>
      <c r="C88" s="60" t="s">
        <v>98</v>
      </c>
      <c r="D88" s="61">
        <v>3685</v>
      </c>
      <c r="E88" s="62">
        <v>44897</v>
      </c>
      <c r="F88" s="62" t="s">
        <v>37</v>
      </c>
      <c r="G88" s="62">
        <v>45261</v>
      </c>
      <c r="H88" s="63">
        <f t="shared" ca="1" si="4"/>
        <v>0</v>
      </c>
      <c r="I88" s="63">
        <v>0</v>
      </c>
      <c r="J88" s="63">
        <f t="shared" ca="1" si="5"/>
        <v>0</v>
      </c>
      <c r="K88" s="64">
        <f t="shared" ca="1" si="6"/>
        <v>0</v>
      </c>
      <c r="L88" s="60" t="s">
        <v>38</v>
      </c>
      <c r="M88" s="65"/>
    </row>
    <row r="89" spans="1:13" hidden="1" x14ac:dyDescent="0.25">
      <c r="A89" s="60" t="s">
        <v>95</v>
      </c>
      <c r="B89" s="60" t="s">
        <v>94</v>
      </c>
      <c r="C89" s="60" t="s">
        <v>99</v>
      </c>
      <c r="D89" s="61">
        <v>3760</v>
      </c>
      <c r="E89" s="62">
        <v>44419</v>
      </c>
      <c r="F89" s="62" t="s">
        <v>37</v>
      </c>
      <c r="G89" s="62">
        <v>44783</v>
      </c>
      <c r="H89" s="63">
        <f t="shared" ca="1" si="4"/>
        <v>30</v>
      </c>
      <c r="I89" s="63">
        <v>0</v>
      </c>
      <c r="J89" s="63">
        <f t="shared" ca="1" si="5"/>
        <v>30</v>
      </c>
      <c r="K89" s="64">
        <f t="shared" ca="1" si="6"/>
        <v>12</v>
      </c>
      <c r="L89" s="60" t="s">
        <v>38</v>
      </c>
      <c r="M89" s="65"/>
    </row>
    <row r="90" spans="1:13" hidden="1" x14ac:dyDescent="0.25">
      <c r="A90" s="60" t="s">
        <v>95</v>
      </c>
      <c r="B90" s="60" t="s">
        <v>94</v>
      </c>
      <c r="C90" s="60" t="s">
        <v>99</v>
      </c>
      <c r="D90" s="61">
        <v>3760</v>
      </c>
      <c r="E90" s="62">
        <v>44784</v>
      </c>
      <c r="F90" s="62" t="s">
        <v>37</v>
      </c>
      <c r="G90" s="62">
        <v>45148</v>
      </c>
      <c r="H90" s="63">
        <f t="shared" ca="1" si="4"/>
        <v>10</v>
      </c>
      <c r="I90" s="63">
        <v>0</v>
      </c>
      <c r="J90" s="63">
        <f t="shared" ca="1" si="5"/>
        <v>10</v>
      </c>
      <c r="K90" s="64">
        <f t="shared" ca="1" si="6"/>
        <v>4</v>
      </c>
      <c r="L90" s="60" t="s">
        <v>38</v>
      </c>
      <c r="M90" s="65"/>
    </row>
    <row r="91" spans="1:13" hidden="1" x14ac:dyDescent="0.25">
      <c r="A91" s="60" t="s">
        <v>95</v>
      </c>
      <c r="B91" s="60" t="s">
        <v>94</v>
      </c>
      <c r="C91" s="60" t="s">
        <v>100</v>
      </c>
      <c r="D91" s="61">
        <v>3808</v>
      </c>
      <c r="E91" s="62">
        <v>44903</v>
      </c>
      <c r="F91" s="62" t="s">
        <v>37</v>
      </c>
      <c r="G91" s="62">
        <v>45267</v>
      </c>
      <c r="H91" s="63">
        <f t="shared" ca="1" si="4"/>
        <v>0</v>
      </c>
      <c r="I91" s="63">
        <v>0</v>
      </c>
      <c r="J91" s="63">
        <f t="shared" ca="1" si="5"/>
        <v>0</v>
      </c>
      <c r="K91" s="64">
        <f t="shared" ca="1" si="6"/>
        <v>0</v>
      </c>
      <c r="L91" s="60" t="s">
        <v>38</v>
      </c>
      <c r="M91" s="65"/>
    </row>
    <row r="92" spans="1:13" hidden="1" x14ac:dyDescent="0.25">
      <c r="A92" s="60" t="s">
        <v>95</v>
      </c>
      <c r="B92" s="60" t="s">
        <v>94</v>
      </c>
      <c r="C92" s="60" t="s">
        <v>101</v>
      </c>
      <c r="D92" s="61">
        <v>3750</v>
      </c>
      <c r="E92" s="62">
        <v>44357</v>
      </c>
      <c r="F92" s="62" t="s">
        <v>37</v>
      </c>
      <c r="G92" s="62">
        <v>44721</v>
      </c>
      <c r="H92" s="63">
        <f t="shared" ca="1" si="4"/>
        <v>30</v>
      </c>
      <c r="I92" s="63">
        <v>20</v>
      </c>
      <c r="J92" s="63">
        <f t="shared" ca="1" si="5"/>
        <v>10</v>
      </c>
      <c r="K92" s="64">
        <f t="shared" ca="1" si="6"/>
        <v>12</v>
      </c>
      <c r="L92" s="60" t="s">
        <v>38</v>
      </c>
      <c r="M92" s="65"/>
    </row>
    <row r="93" spans="1:13" hidden="1" x14ac:dyDescent="0.25">
      <c r="A93" s="60" t="s">
        <v>95</v>
      </c>
      <c r="B93" s="60" t="s">
        <v>94</v>
      </c>
      <c r="C93" s="60" t="s">
        <v>101</v>
      </c>
      <c r="D93" s="61">
        <v>3750</v>
      </c>
      <c r="E93" s="62">
        <v>44722</v>
      </c>
      <c r="F93" s="62" t="s">
        <v>37</v>
      </c>
      <c r="G93" s="62">
        <v>45086</v>
      </c>
      <c r="H93" s="63">
        <f t="shared" ca="1" si="4"/>
        <v>15</v>
      </c>
      <c r="I93" s="63">
        <v>0</v>
      </c>
      <c r="J93" s="63">
        <f t="shared" ca="1" si="5"/>
        <v>15</v>
      </c>
      <c r="K93" s="64">
        <f t="shared" ca="1" si="6"/>
        <v>6</v>
      </c>
      <c r="L93" s="60" t="s">
        <v>38</v>
      </c>
      <c r="M93" s="65"/>
    </row>
    <row r="94" spans="1:13" hidden="1" x14ac:dyDescent="0.25">
      <c r="A94" s="60" t="s">
        <v>95</v>
      </c>
      <c r="B94" s="60" t="s">
        <v>94</v>
      </c>
      <c r="C94" s="60" t="s">
        <v>102</v>
      </c>
      <c r="D94" s="61">
        <v>3747</v>
      </c>
      <c r="E94" s="62">
        <v>44328</v>
      </c>
      <c r="F94" s="62" t="s">
        <v>37</v>
      </c>
      <c r="G94" s="62">
        <v>44692</v>
      </c>
      <c r="H94" s="63">
        <f t="shared" ca="1" si="4"/>
        <v>30</v>
      </c>
      <c r="I94" s="63">
        <v>20</v>
      </c>
      <c r="J94" s="63">
        <f t="shared" ca="1" si="5"/>
        <v>10</v>
      </c>
      <c r="K94" s="64">
        <f t="shared" ca="1" si="6"/>
        <v>12</v>
      </c>
      <c r="L94" s="60" t="s">
        <v>38</v>
      </c>
      <c r="M94" s="65"/>
    </row>
    <row r="95" spans="1:13" hidden="1" x14ac:dyDescent="0.25">
      <c r="A95" s="60" t="s">
        <v>95</v>
      </c>
      <c r="B95" s="60" t="s">
        <v>94</v>
      </c>
      <c r="C95" s="60" t="s">
        <v>102</v>
      </c>
      <c r="D95" s="61">
        <v>3747</v>
      </c>
      <c r="E95" s="62">
        <v>44693</v>
      </c>
      <c r="F95" s="62" t="s">
        <v>37</v>
      </c>
      <c r="G95" s="62">
        <v>45057</v>
      </c>
      <c r="H95" s="63">
        <f t="shared" ca="1" si="4"/>
        <v>17.5</v>
      </c>
      <c r="I95" s="63">
        <v>0</v>
      </c>
      <c r="J95" s="63">
        <f t="shared" ca="1" si="5"/>
        <v>17.5</v>
      </c>
      <c r="K95" s="64">
        <f t="shared" ca="1" si="6"/>
        <v>7</v>
      </c>
      <c r="L95" s="60" t="s">
        <v>38</v>
      </c>
      <c r="M95" s="65"/>
    </row>
    <row r="96" spans="1:13" hidden="1" x14ac:dyDescent="0.25">
      <c r="A96" s="60" t="s">
        <v>95</v>
      </c>
      <c r="B96" s="60" t="s">
        <v>94</v>
      </c>
      <c r="C96" s="60" t="s">
        <v>95</v>
      </c>
      <c r="D96" s="61">
        <v>3681</v>
      </c>
      <c r="E96" s="62">
        <v>44434</v>
      </c>
      <c r="F96" s="62" t="s">
        <v>37</v>
      </c>
      <c r="G96" s="62">
        <v>44798</v>
      </c>
      <c r="H96" s="63">
        <f t="shared" ca="1" si="4"/>
        <v>30</v>
      </c>
      <c r="I96" s="63">
        <v>0</v>
      </c>
      <c r="J96" s="63">
        <f t="shared" ca="1" si="5"/>
        <v>30</v>
      </c>
      <c r="K96" s="64">
        <f t="shared" ca="1" si="6"/>
        <v>12</v>
      </c>
      <c r="L96" s="60" t="s">
        <v>38</v>
      </c>
      <c r="M96" s="65"/>
    </row>
    <row r="97" spans="1:13" hidden="1" x14ac:dyDescent="0.25">
      <c r="A97" s="60" t="s">
        <v>95</v>
      </c>
      <c r="B97" s="60" t="s">
        <v>94</v>
      </c>
      <c r="C97" s="60" t="s">
        <v>95</v>
      </c>
      <c r="D97" s="61">
        <v>3681</v>
      </c>
      <c r="E97" s="62">
        <v>44799</v>
      </c>
      <c r="F97" s="62" t="s">
        <v>37</v>
      </c>
      <c r="G97" s="62">
        <v>45163</v>
      </c>
      <c r="H97" s="63">
        <f t="shared" ca="1" si="4"/>
        <v>7.5</v>
      </c>
      <c r="I97" s="63">
        <v>0</v>
      </c>
      <c r="J97" s="63">
        <f t="shared" ca="1" si="5"/>
        <v>7.5</v>
      </c>
      <c r="K97" s="64">
        <f t="shared" ca="1" si="6"/>
        <v>3</v>
      </c>
      <c r="L97" s="60" t="s">
        <v>38</v>
      </c>
      <c r="M97" s="65"/>
    </row>
    <row r="98" spans="1:13" hidden="1" x14ac:dyDescent="0.25">
      <c r="A98" s="60" t="s">
        <v>95</v>
      </c>
      <c r="B98" s="60" t="s">
        <v>94</v>
      </c>
      <c r="C98" s="60" t="s">
        <v>103</v>
      </c>
      <c r="D98" s="61">
        <v>3796</v>
      </c>
      <c r="E98" s="62">
        <v>44768</v>
      </c>
      <c r="F98" s="62" t="s">
        <v>37</v>
      </c>
      <c r="G98" s="62">
        <v>45132</v>
      </c>
      <c r="H98" s="63">
        <f t="shared" ca="1" si="4"/>
        <v>10</v>
      </c>
      <c r="I98" s="63">
        <v>0</v>
      </c>
      <c r="J98" s="63">
        <f t="shared" ca="1" si="5"/>
        <v>10</v>
      </c>
      <c r="K98" s="64">
        <f t="shared" ca="1" si="6"/>
        <v>4</v>
      </c>
      <c r="L98" s="60" t="s">
        <v>38</v>
      </c>
      <c r="M98" s="65"/>
    </row>
    <row r="99" spans="1:13" hidden="1" x14ac:dyDescent="0.25">
      <c r="A99" s="60" t="s">
        <v>95</v>
      </c>
      <c r="B99" s="60" t="s">
        <v>94</v>
      </c>
      <c r="C99" s="60" t="s">
        <v>104</v>
      </c>
      <c r="D99" s="61">
        <v>3797</v>
      </c>
      <c r="E99" s="62">
        <v>44788</v>
      </c>
      <c r="F99" s="62" t="s">
        <v>37</v>
      </c>
      <c r="G99" s="62">
        <v>45152</v>
      </c>
      <c r="H99" s="63">
        <f t="shared" ca="1" si="4"/>
        <v>10</v>
      </c>
      <c r="I99" s="63">
        <v>0</v>
      </c>
      <c r="J99" s="63">
        <f t="shared" ca="1" si="5"/>
        <v>10</v>
      </c>
      <c r="K99" s="64">
        <f t="shared" ca="1" si="6"/>
        <v>4</v>
      </c>
      <c r="L99" s="60" t="s">
        <v>38</v>
      </c>
      <c r="M99" s="65"/>
    </row>
    <row r="100" spans="1:13" hidden="1" x14ac:dyDescent="0.25">
      <c r="A100" s="60" t="s">
        <v>95</v>
      </c>
      <c r="B100" s="60" t="s">
        <v>94</v>
      </c>
      <c r="C100" s="60" t="s">
        <v>105</v>
      </c>
      <c r="D100" s="61">
        <v>3014</v>
      </c>
      <c r="E100" s="62">
        <v>44369</v>
      </c>
      <c r="F100" s="62" t="s">
        <v>37</v>
      </c>
      <c r="G100" s="62">
        <v>44733</v>
      </c>
      <c r="H100" s="63">
        <f t="shared" ca="1" si="4"/>
        <v>30</v>
      </c>
      <c r="I100" s="63">
        <v>0</v>
      </c>
      <c r="J100" s="63">
        <f t="shared" ca="1" si="5"/>
        <v>30</v>
      </c>
      <c r="K100" s="64">
        <f t="shared" ca="1" si="6"/>
        <v>12</v>
      </c>
      <c r="L100" s="60" t="s">
        <v>38</v>
      </c>
      <c r="M100" s="65"/>
    </row>
    <row r="101" spans="1:13" hidden="1" x14ac:dyDescent="0.25">
      <c r="A101" s="60" t="s">
        <v>95</v>
      </c>
      <c r="B101" s="60" t="s">
        <v>94</v>
      </c>
      <c r="C101" s="60" t="s">
        <v>105</v>
      </c>
      <c r="D101" s="61">
        <v>3014</v>
      </c>
      <c r="E101" s="62">
        <v>44734</v>
      </c>
      <c r="F101" s="62" t="s">
        <v>37</v>
      </c>
      <c r="G101" s="62">
        <v>45098</v>
      </c>
      <c r="H101" s="63">
        <f t="shared" ca="1" si="4"/>
        <v>12.5</v>
      </c>
      <c r="I101" s="63">
        <v>0</v>
      </c>
      <c r="J101" s="63">
        <f t="shared" ca="1" si="5"/>
        <v>12.5</v>
      </c>
      <c r="K101" s="64">
        <f t="shared" ca="1" si="6"/>
        <v>5</v>
      </c>
      <c r="L101" s="60" t="s">
        <v>38</v>
      </c>
      <c r="M101" s="65"/>
    </row>
    <row r="102" spans="1:13" hidden="1" x14ac:dyDescent="0.25">
      <c r="A102" s="60" t="s">
        <v>95</v>
      </c>
      <c r="B102" s="60" t="s">
        <v>94</v>
      </c>
      <c r="C102" s="60" t="s">
        <v>106</v>
      </c>
      <c r="D102" s="61">
        <v>3763</v>
      </c>
      <c r="E102" s="62">
        <v>44452</v>
      </c>
      <c r="F102" s="62" t="s">
        <v>37</v>
      </c>
      <c r="G102" s="62">
        <v>44816</v>
      </c>
      <c r="H102" s="63">
        <f t="shared" ca="1" si="4"/>
        <v>30</v>
      </c>
      <c r="I102" s="63">
        <v>0</v>
      </c>
      <c r="J102" s="63">
        <f t="shared" ca="1" si="5"/>
        <v>30</v>
      </c>
      <c r="K102" s="64">
        <f t="shared" ca="1" si="6"/>
        <v>12</v>
      </c>
      <c r="L102" s="60" t="s">
        <v>38</v>
      </c>
      <c r="M102" s="65"/>
    </row>
    <row r="103" spans="1:13" hidden="1" x14ac:dyDescent="0.25">
      <c r="A103" s="60" t="s">
        <v>95</v>
      </c>
      <c r="B103" s="60" t="s">
        <v>94</v>
      </c>
      <c r="C103" s="60" t="s">
        <v>106</v>
      </c>
      <c r="D103" s="61">
        <v>3763</v>
      </c>
      <c r="E103" s="62">
        <v>44817</v>
      </c>
      <c r="F103" s="62" t="s">
        <v>37</v>
      </c>
      <c r="G103" s="62">
        <v>45181</v>
      </c>
      <c r="H103" s="63">
        <f t="shared" ca="1" si="4"/>
        <v>7.5</v>
      </c>
      <c r="I103" s="63">
        <v>0</v>
      </c>
      <c r="J103" s="63">
        <f t="shared" ca="1" si="5"/>
        <v>7.5</v>
      </c>
      <c r="K103" s="64">
        <f t="shared" ca="1" si="6"/>
        <v>3</v>
      </c>
      <c r="L103" s="60" t="s">
        <v>38</v>
      </c>
      <c r="M103" s="65"/>
    </row>
    <row r="104" spans="1:13" hidden="1" x14ac:dyDescent="0.25">
      <c r="A104" s="60" t="s">
        <v>95</v>
      </c>
      <c r="B104" s="60" t="s">
        <v>94</v>
      </c>
      <c r="C104" s="60" t="s">
        <v>107</v>
      </c>
      <c r="D104" s="61">
        <v>2950</v>
      </c>
      <c r="E104" s="62">
        <v>44368</v>
      </c>
      <c r="F104" s="62" t="s">
        <v>37</v>
      </c>
      <c r="G104" s="62">
        <v>44732</v>
      </c>
      <c r="H104" s="63">
        <f t="shared" ca="1" si="4"/>
        <v>30</v>
      </c>
      <c r="I104" s="63">
        <v>0</v>
      </c>
      <c r="J104" s="63">
        <f t="shared" ca="1" si="5"/>
        <v>30</v>
      </c>
      <c r="K104" s="64">
        <f t="shared" ca="1" si="6"/>
        <v>12</v>
      </c>
      <c r="L104" s="60" t="s">
        <v>38</v>
      </c>
      <c r="M104" s="65"/>
    </row>
    <row r="105" spans="1:13" hidden="1" x14ac:dyDescent="0.25">
      <c r="A105" s="60" t="s">
        <v>95</v>
      </c>
      <c r="B105" s="60" t="s">
        <v>94</v>
      </c>
      <c r="C105" s="60" t="s">
        <v>107</v>
      </c>
      <c r="D105" s="61">
        <v>2950</v>
      </c>
      <c r="E105" s="62">
        <v>44733</v>
      </c>
      <c r="F105" s="62" t="s">
        <v>37</v>
      </c>
      <c r="G105" s="62">
        <v>45097</v>
      </c>
      <c r="H105" s="63">
        <f t="shared" ca="1" si="4"/>
        <v>12.5</v>
      </c>
      <c r="I105" s="63">
        <v>0</v>
      </c>
      <c r="J105" s="63">
        <f t="shared" ca="1" si="5"/>
        <v>12.5</v>
      </c>
      <c r="K105" s="64">
        <f t="shared" ca="1" si="6"/>
        <v>5</v>
      </c>
      <c r="L105" s="60" t="s">
        <v>38</v>
      </c>
      <c r="M105" s="65"/>
    </row>
    <row r="106" spans="1:13" hidden="1" x14ac:dyDescent="0.25">
      <c r="A106" s="60" t="s">
        <v>108</v>
      </c>
      <c r="B106" s="60" t="s">
        <v>109</v>
      </c>
      <c r="C106" s="60" t="s">
        <v>108</v>
      </c>
      <c r="D106" s="61">
        <v>2612</v>
      </c>
      <c r="E106" s="62">
        <v>44504</v>
      </c>
      <c r="F106" s="62" t="s">
        <v>37</v>
      </c>
      <c r="G106" s="62">
        <v>44868</v>
      </c>
      <c r="H106" s="63">
        <f t="shared" ca="1" si="4"/>
        <v>30</v>
      </c>
      <c r="I106" s="63">
        <v>5</v>
      </c>
      <c r="J106" s="63">
        <f t="shared" ca="1" si="5"/>
        <v>25</v>
      </c>
      <c r="K106" s="64">
        <f t="shared" ca="1" si="6"/>
        <v>12</v>
      </c>
      <c r="L106" s="60" t="s">
        <v>38</v>
      </c>
      <c r="M106" s="65"/>
    </row>
    <row r="107" spans="1:13" hidden="1" x14ac:dyDescent="0.25">
      <c r="A107" s="60" t="s">
        <v>108</v>
      </c>
      <c r="B107" s="60" t="s">
        <v>109</v>
      </c>
      <c r="C107" s="60" t="s">
        <v>108</v>
      </c>
      <c r="D107" s="61">
        <v>2612</v>
      </c>
      <c r="E107" s="62">
        <v>44869</v>
      </c>
      <c r="F107" s="62" t="s">
        <v>37</v>
      </c>
      <c r="G107" s="62">
        <v>45233</v>
      </c>
      <c r="H107" s="63">
        <f t="shared" ca="1" si="4"/>
        <v>2.5</v>
      </c>
      <c r="I107" s="63">
        <v>0</v>
      </c>
      <c r="J107" s="63">
        <f t="shared" ca="1" si="5"/>
        <v>2.5</v>
      </c>
      <c r="K107" s="64">
        <f t="shared" ca="1" si="6"/>
        <v>1</v>
      </c>
      <c r="L107" s="60" t="s">
        <v>38</v>
      </c>
      <c r="M107" s="65"/>
    </row>
    <row r="108" spans="1:13" hidden="1" x14ac:dyDescent="0.25">
      <c r="A108" s="60" t="s">
        <v>112</v>
      </c>
      <c r="B108" s="60" t="s">
        <v>111</v>
      </c>
      <c r="C108" s="60" t="s">
        <v>110</v>
      </c>
      <c r="D108" s="61">
        <v>3700</v>
      </c>
      <c r="E108" s="62">
        <v>44327</v>
      </c>
      <c r="F108" s="62" t="s">
        <v>37</v>
      </c>
      <c r="G108" s="62">
        <v>44691</v>
      </c>
      <c r="H108" s="63">
        <f t="shared" ca="1" si="4"/>
        <v>30</v>
      </c>
      <c r="I108" s="63">
        <v>15</v>
      </c>
      <c r="J108" s="63">
        <f t="shared" ca="1" si="5"/>
        <v>15</v>
      </c>
      <c r="K108" s="64">
        <f t="shared" ca="1" si="6"/>
        <v>12</v>
      </c>
      <c r="L108" s="60" t="s">
        <v>38</v>
      </c>
      <c r="M108" s="65"/>
    </row>
    <row r="109" spans="1:13" hidden="1" x14ac:dyDescent="0.25">
      <c r="A109" s="60" t="s">
        <v>112</v>
      </c>
      <c r="B109" s="60" t="s">
        <v>111</v>
      </c>
      <c r="C109" s="60" t="s">
        <v>110</v>
      </c>
      <c r="D109" s="61">
        <v>3700</v>
      </c>
      <c r="E109" s="62">
        <v>44692</v>
      </c>
      <c r="F109" s="62" t="s">
        <v>37</v>
      </c>
      <c r="G109" s="62">
        <v>45056</v>
      </c>
      <c r="H109" s="63">
        <f t="shared" ca="1" si="4"/>
        <v>17.5</v>
      </c>
      <c r="I109" s="63">
        <v>0</v>
      </c>
      <c r="J109" s="63">
        <f t="shared" ca="1" si="5"/>
        <v>17.5</v>
      </c>
      <c r="K109" s="64">
        <f t="shared" ca="1" si="6"/>
        <v>7</v>
      </c>
      <c r="L109" s="60" t="s">
        <v>38</v>
      </c>
      <c r="M109" s="65"/>
    </row>
    <row r="110" spans="1:13" hidden="1" x14ac:dyDescent="0.25">
      <c r="A110" s="60" t="s">
        <v>112</v>
      </c>
      <c r="B110" s="60" t="s">
        <v>111</v>
      </c>
      <c r="C110" s="60" t="s">
        <v>113</v>
      </c>
      <c r="D110" s="61">
        <v>3800</v>
      </c>
      <c r="E110" s="62">
        <v>44547</v>
      </c>
      <c r="F110" s="62" t="s">
        <v>37</v>
      </c>
      <c r="G110" s="62">
        <v>44911</v>
      </c>
      <c r="H110" s="63">
        <f t="shared" ca="1" si="4"/>
        <v>30</v>
      </c>
      <c r="I110" s="63">
        <v>0</v>
      </c>
      <c r="J110" s="63">
        <f t="shared" ca="1" si="5"/>
        <v>30</v>
      </c>
      <c r="K110" s="64">
        <f t="shared" ca="1" si="6"/>
        <v>12</v>
      </c>
      <c r="L110" s="60" t="s">
        <v>38</v>
      </c>
      <c r="M110" s="65"/>
    </row>
    <row r="111" spans="1:13" hidden="1" x14ac:dyDescent="0.25">
      <c r="A111" s="60" t="s">
        <v>112</v>
      </c>
      <c r="B111" s="60" t="s">
        <v>111</v>
      </c>
      <c r="C111" s="60" t="s">
        <v>113</v>
      </c>
      <c r="D111" s="61">
        <v>3800</v>
      </c>
      <c r="E111" s="62">
        <v>44912</v>
      </c>
      <c r="F111" s="62" t="s">
        <v>37</v>
      </c>
      <c r="G111" s="62">
        <v>45276</v>
      </c>
      <c r="H111" s="63">
        <f t="shared" ca="1" si="4"/>
        <v>0</v>
      </c>
      <c r="I111" s="63">
        <v>0</v>
      </c>
      <c r="J111" s="63">
        <f t="shared" ca="1" si="5"/>
        <v>0</v>
      </c>
      <c r="K111" s="64">
        <f t="shared" ca="1" si="6"/>
        <v>0</v>
      </c>
      <c r="L111" s="60" t="s">
        <v>38</v>
      </c>
      <c r="M111" s="65"/>
    </row>
    <row r="112" spans="1:13" hidden="1" x14ac:dyDescent="0.25">
      <c r="A112" s="60" t="s">
        <v>112</v>
      </c>
      <c r="B112" s="60" t="s">
        <v>111</v>
      </c>
      <c r="C112" s="60" t="s">
        <v>114</v>
      </c>
      <c r="D112" s="61">
        <v>3157</v>
      </c>
      <c r="E112" s="62">
        <v>44400</v>
      </c>
      <c r="F112" s="62" t="s">
        <v>37</v>
      </c>
      <c r="G112" s="62">
        <v>44764</v>
      </c>
      <c r="H112" s="63">
        <f t="shared" ca="1" si="4"/>
        <v>30</v>
      </c>
      <c r="I112" s="63">
        <v>10</v>
      </c>
      <c r="J112" s="63">
        <f t="shared" ca="1" si="5"/>
        <v>20</v>
      </c>
      <c r="K112" s="64">
        <f t="shared" ca="1" si="6"/>
        <v>12</v>
      </c>
      <c r="L112" s="60" t="s">
        <v>38</v>
      </c>
      <c r="M112" s="65"/>
    </row>
    <row r="113" spans="1:13" hidden="1" x14ac:dyDescent="0.25">
      <c r="A113" s="60" t="s">
        <v>112</v>
      </c>
      <c r="B113" s="60" t="s">
        <v>111</v>
      </c>
      <c r="C113" s="60" t="s">
        <v>114</v>
      </c>
      <c r="D113" s="61">
        <v>3157</v>
      </c>
      <c r="E113" s="62">
        <v>44765</v>
      </c>
      <c r="F113" s="62" t="s">
        <v>37</v>
      </c>
      <c r="G113" s="62">
        <v>45129</v>
      </c>
      <c r="H113" s="63">
        <f t="shared" ca="1" si="4"/>
        <v>10</v>
      </c>
      <c r="I113" s="63">
        <v>0</v>
      </c>
      <c r="J113" s="63">
        <f t="shared" ca="1" si="5"/>
        <v>10</v>
      </c>
      <c r="K113" s="64">
        <f t="shared" ca="1" si="6"/>
        <v>4</v>
      </c>
      <c r="L113" s="60" t="s">
        <v>38</v>
      </c>
      <c r="M113" s="65"/>
    </row>
    <row r="114" spans="1:13" hidden="1" x14ac:dyDescent="0.25">
      <c r="A114" s="60" t="s">
        <v>112</v>
      </c>
      <c r="B114" s="60" t="s">
        <v>111</v>
      </c>
      <c r="C114" s="60" t="s">
        <v>115</v>
      </c>
      <c r="D114" s="61">
        <v>3801</v>
      </c>
      <c r="E114" s="62">
        <v>44824</v>
      </c>
      <c r="F114" s="62" t="s">
        <v>37</v>
      </c>
      <c r="G114" s="62">
        <v>45188</v>
      </c>
      <c r="H114" s="63">
        <f t="shared" ca="1" si="4"/>
        <v>7.5</v>
      </c>
      <c r="I114" s="63">
        <v>0</v>
      </c>
      <c r="J114" s="63">
        <f t="shared" ca="1" si="5"/>
        <v>7.5</v>
      </c>
      <c r="K114" s="64">
        <f t="shared" ca="1" si="6"/>
        <v>3</v>
      </c>
      <c r="L114" s="60" t="s">
        <v>38</v>
      </c>
      <c r="M114" s="65"/>
    </row>
    <row r="115" spans="1:13" hidden="1" x14ac:dyDescent="0.25">
      <c r="A115" s="60" t="s">
        <v>112</v>
      </c>
      <c r="B115" s="60" t="s">
        <v>111</v>
      </c>
      <c r="C115" s="60" t="s">
        <v>116</v>
      </c>
      <c r="D115" s="61">
        <v>3788</v>
      </c>
      <c r="E115" s="62">
        <v>44641</v>
      </c>
      <c r="F115" s="62" t="s">
        <v>37</v>
      </c>
      <c r="G115" s="62">
        <v>45005</v>
      </c>
      <c r="H115" s="63">
        <f t="shared" ca="1" si="4"/>
        <v>20</v>
      </c>
      <c r="I115" s="63">
        <v>5</v>
      </c>
      <c r="J115" s="63">
        <f t="shared" ca="1" si="5"/>
        <v>15</v>
      </c>
      <c r="K115" s="64">
        <f t="shared" ca="1" si="6"/>
        <v>8</v>
      </c>
      <c r="L115" s="60" t="s">
        <v>38</v>
      </c>
      <c r="M115" s="65"/>
    </row>
    <row r="116" spans="1:13" hidden="1" x14ac:dyDescent="0.25">
      <c r="A116" s="60" t="s">
        <v>222</v>
      </c>
      <c r="B116" s="60" t="s">
        <v>118</v>
      </c>
      <c r="C116" s="60" t="s">
        <v>117</v>
      </c>
      <c r="D116" s="61">
        <v>3743</v>
      </c>
      <c r="E116" s="62">
        <v>44671</v>
      </c>
      <c r="F116" s="62" t="s">
        <v>37</v>
      </c>
      <c r="G116" s="62">
        <v>45035</v>
      </c>
      <c r="H116" s="63">
        <f t="shared" ca="1" si="4"/>
        <v>20</v>
      </c>
      <c r="I116" s="63">
        <v>5</v>
      </c>
      <c r="J116" s="63">
        <f t="shared" ca="1" si="5"/>
        <v>15</v>
      </c>
      <c r="K116" s="64">
        <f t="shared" ca="1" si="6"/>
        <v>8</v>
      </c>
      <c r="L116" s="60" t="s">
        <v>38</v>
      </c>
      <c r="M116" s="65"/>
    </row>
    <row r="117" spans="1:13" x14ac:dyDescent="0.25">
      <c r="A117" s="60" t="s">
        <v>204</v>
      </c>
      <c r="B117" s="60" t="s">
        <v>118</v>
      </c>
      <c r="C117" s="60" t="s">
        <v>119</v>
      </c>
      <c r="D117" s="61">
        <v>3670</v>
      </c>
      <c r="E117" s="62">
        <v>44533</v>
      </c>
      <c r="F117" s="62" t="s">
        <v>37</v>
      </c>
      <c r="G117" s="62">
        <v>44897</v>
      </c>
      <c r="H117" s="63">
        <f t="shared" ca="1" si="4"/>
        <v>30</v>
      </c>
      <c r="I117" s="63">
        <v>0</v>
      </c>
      <c r="J117" s="63">
        <f t="shared" ca="1" si="5"/>
        <v>30</v>
      </c>
      <c r="K117" s="64">
        <f t="shared" ca="1" si="6"/>
        <v>12</v>
      </c>
      <c r="L117" s="60" t="s">
        <v>38</v>
      </c>
      <c r="M117" s="65"/>
    </row>
    <row r="118" spans="1:13" x14ac:dyDescent="0.25">
      <c r="A118" s="60" t="s">
        <v>204</v>
      </c>
      <c r="B118" s="60" t="s">
        <v>118</v>
      </c>
      <c r="C118" s="60" t="s">
        <v>119</v>
      </c>
      <c r="D118" s="61">
        <v>3670</v>
      </c>
      <c r="E118" s="62">
        <v>44898</v>
      </c>
      <c r="F118" s="62" t="s">
        <v>37</v>
      </c>
      <c r="G118" s="62">
        <v>45262</v>
      </c>
      <c r="H118" s="63">
        <f t="shared" ca="1" si="4"/>
        <v>0</v>
      </c>
      <c r="I118" s="63">
        <v>0</v>
      </c>
      <c r="J118" s="63">
        <f t="shared" ca="1" si="5"/>
        <v>0</v>
      </c>
      <c r="K118" s="64">
        <f t="shared" ca="1" si="6"/>
        <v>0</v>
      </c>
      <c r="L118" s="60" t="s">
        <v>38</v>
      </c>
      <c r="M118" s="65"/>
    </row>
    <row r="119" spans="1:13" x14ac:dyDescent="0.25">
      <c r="A119" s="60" t="s">
        <v>204</v>
      </c>
      <c r="B119" s="60" t="s">
        <v>118</v>
      </c>
      <c r="C119" s="60" t="s">
        <v>120</v>
      </c>
      <c r="D119" s="61">
        <v>3471</v>
      </c>
      <c r="E119" s="62">
        <v>44478</v>
      </c>
      <c r="F119" s="62" t="s">
        <v>37</v>
      </c>
      <c r="G119" s="62">
        <v>44842</v>
      </c>
      <c r="H119" s="63">
        <f t="shared" ca="1" si="4"/>
        <v>30</v>
      </c>
      <c r="I119" s="63">
        <v>0</v>
      </c>
      <c r="J119" s="63">
        <f t="shared" ca="1" si="5"/>
        <v>30</v>
      </c>
      <c r="K119" s="64">
        <f t="shared" ca="1" si="6"/>
        <v>12</v>
      </c>
      <c r="L119" s="60" t="s">
        <v>38</v>
      </c>
      <c r="M119" s="65"/>
    </row>
    <row r="120" spans="1:13" x14ac:dyDescent="0.25">
      <c r="A120" s="60" t="s">
        <v>204</v>
      </c>
      <c r="B120" s="60" t="s">
        <v>118</v>
      </c>
      <c r="C120" s="60" t="s">
        <v>120</v>
      </c>
      <c r="D120" s="61">
        <v>3471</v>
      </c>
      <c r="E120" s="62">
        <v>44843</v>
      </c>
      <c r="F120" s="62" t="s">
        <v>37</v>
      </c>
      <c r="G120" s="62">
        <v>45207</v>
      </c>
      <c r="H120" s="63">
        <f t="shared" ca="1" si="4"/>
        <v>5</v>
      </c>
      <c r="I120" s="63">
        <v>0</v>
      </c>
      <c r="J120" s="63">
        <f t="shared" ca="1" si="5"/>
        <v>5</v>
      </c>
      <c r="K120" s="64">
        <f t="shared" ca="1" si="6"/>
        <v>2</v>
      </c>
      <c r="L120" s="60" t="s">
        <v>38</v>
      </c>
      <c r="M120" s="65"/>
    </row>
    <row r="121" spans="1:13" x14ac:dyDescent="0.25">
      <c r="A121" s="60" t="s">
        <v>204</v>
      </c>
      <c r="B121" s="60" t="s">
        <v>118</v>
      </c>
      <c r="C121" s="60" t="s">
        <v>121</v>
      </c>
      <c r="D121" s="61">
        <v>3748</v>
      </c>
      <c r="E121" s="62">
        <v>44713</v>
      </c>
      <c r="F121" s="62" t="s">
        <v>37</v>
      </c>
      <c r="G121" s="62">
        <v>45077</v>
      </c>
      <c r="H121" s="63">
        <f t="shared" ca="1" si="4"/>
        <v>15</v>
      </c>
      <c r="I121" s="63">
        <v>0</v>
      </c>
      <c r="J121" s="63">
        <f t="shared" ca="1" si="5"/>
        <v>15</v>
      </c>
      <c r="K121" s="64">
        <f t="shared" ca="1" si="6"/>
        <v>6</v>
      </c>
      <c r="L121" s="60" t="s">
        <v>38</v>
      </c>
      <c r="M121" s="65"/>
    </row>
    <row r="122" spans="1:13" hidden="1" x14ac:dyDescent="0.25">
      <c r="A122" s="60" t="s">
        <v>124</v>
      </c>
      <c r="B122" s="60" t="s">
        <v>123</v>
      </c>
      <c r="C122" s="60" t="s">
        <v>122</v>
      </c>
      <c r="D122" s="61">
        <v>3442</v>
      </c>
      <c r="E122" s="62">
        <v>44605</v>
      </c>
      <c r="F122" s="62" t="s">
        <v>37</v>
      </c>
      <c r="G122" s="62">
        <v>44969</v>
      </c>
      <c r="H122" s="63">
        <f t="shared" ca="1" si="4"/>
        <v>25</v>
      </c>
      <c r="I122" s="63">
        <v>0</v>
      </c>
      <c r="J122" s="63">
        <f t="shared" ca="1" si="5"/>
        <v>25</v>
      </c>
      <c r="K122" s="64">
        <f t="shared" ca="1" si="6"/>
        <v>10</v>
      </c>
      <c r="L122" s="60" t="s">
        <v>38</v>
      </c>
      <c r="M122" s="65"/>
    </row>
    <row r="123" spans="1:13" hidden="1" x14ac:dyDescent="0.25">
      <c r="A123" s="60" t="s">
        <v>124</v>
      </c>
      <c r="B123" s="60" t="s">
        <v>123</v>
      </c>
      <c r="C123" s="60" t="s">
        <v>125</v>
      </c>
      <c r="D123" s="61">
        <v>3107</v>
      </c>
      <c r="E123" s="62">
        <v>44556</v>
      </c>
      <c r="F123" s="62" t="s">
        <v>37</v>
      </c>
      <c r="G123" s="62">
        <v>44920</v>
      </c>
      <c r="H123" s="63">
        <f t="shared" ca="1" si="4"/>
        <v>27.5</v>
      </c>
      <c r="I123" s="63">
        <v>0</v>
      </c>
      <c r="J123" s="63">
        <f t="shared" ca="1" si="5"/>
        <v>27.5</v>
      </c>
      <c r="K123" s="64">
        <f t="shared" ca="1" si="6"/>
        <v>11</v>
      </c>
      <c r="L123" s="60" t="s">
        <v>38</v>
      </c>
      <c r="M123" s="65"/>
    </row>
    <row r="124" spans="1:13" hidden="1" x14ac:dyDescent="0.25">
      <c r="A124" s="60" t="s">
        <v>124</v>
      </c>
      <c r="B124" s="60" t="s">
        <v>123</v>
      </c>
      <c r="C124" s="60" t="s">
        <v>125</v>
      </c>
      <c r="D124" s="61">
        <v>3107</v>
      </c>
      <c r="E124" s="62">
        <v>44921</v>
      </c>
      <c r="F124" s="62" t="s">
        <v>37</v>
      </c>
      <c r="G124" s="62">
        <v>45285</v>
      </c>
      <c r="H124" s="63" t="str">
        <f t="shared" ca="1" si="4"/>
        <v>-</v>
      </c>
      <c r="I124" s="63">
        <v>0</v>
      </c>
      <c r="J124" s="63" t="str">
        <f t="shared" ca="1" si="5"/>
        <v>-</v>
      </c>
      <c r="K124" s="64" t="str">
        <f t="shared" ca="1" si="6"/>
        <v>-</v>
      </c>
      <c r="L124" s="60" t="s">
        <v>38</v>
      </c>
      <c r="M124" s="65"/>
    </row>
    <row r="125" spans="1:13" hidden="1" x14ac:dyDescent="0.25">
      <c r="A125" s="60" t="s">
        <v>124</v>
      </c>
      <c r="B125" s="60" t="s">
        <v>123</v>
      </c>
      <c r="C125" s="60" t="s">
        <v>126</v>
      </c>
      <c r="D125" s="61">
        <v>3757</v>
      </c>
      <c r="E125" s="62">
        <v>44404</v>
      </c>
      <c r="F125" s="62" t="s">
        <v>37</v>
      </c>
      <c r="G125" s="62">
        <v>44768</v>
      </c>
      <c r="H125" s="63">
        <f t="shared" ca="1" si="4"/>
        <v>30</v>
      </c>
      <c r="I125" s="63">
        <v>0</v>
      </c>
      <c r="J125" s="63">
        <f t="shared" ca="1" si="5"/>
        <v>30</v>
      </c>
      <c r="K125" s="64">
        <f t="shared" ca="1" si="6"/>
        <v>12</v>
      </c>
      <c r="L125" s="60" t="s">
        <v>38</v>
      </c>
      <c r="M125" s="65"/>
    </row>
    <row r="126" spans="1:13" hidden="1" x14ac:dyDescent="0.25">
      <c r="A126" s="60" t="s">
        <v>124</v>
      </c>
      <c r="B126" s="60" t="s">
        <v>123</v>
      </c>
      <c r="C126" s="60" t="s">
        <v>126</v>
      </c>
      <c r="D126" s="61">
        <v>3757</v>
      </c>
      <c r="E126" s="62">
        <v>44769</v>
      </c>
      <c r="F126" s="62" t="s">
        <v>37</v>
      </c>
      <c r="G126" s="62">
        <v>45133</v>
      </c>
      <c r="H126" s="63">
        <f t="shared" ca="1" si="4"/>
        <v>10</v>
      </c>
      <c r="I126" s="63">
        <v>0</v>
      </c>
      <c r="J126" s="63">
        <f t="shared" ca="1" si="5"/>
        <v>10</v>
      </c>
      <c r="K126" s="64">
        <f t="shared" ca="1" si="6"/>
        <v>4</v>
      </c>
      <c r="L126" s="60" t="s">
        <v>38</v>
      </c>
      <c r="M126" s="65"/>
    </row>
    <row r="127" spans="1:13" hidden="1" x14ac:dyDescent="0.25">
      <c r="A127" s="60" t="s">
        <v>124</v>
      </c>
      <c r="B127" s="60" t="s">
        <v>123</v>
      </c>
      <c r="C127" s="60" t="s">
        <v>124</v>
      </c>
      <c r="D127" s="61">
        <v>3669</v>
      </c>
      <c r="E127" s="62">
        <v>44381</v>
      </c>
      <c r="F127" s="62" t="s">
        <v>37</v>
      </c>
      <c r="G127" s="62">
        <v>44745</v>
      </c>
      <c r="H127" s="63">
        <f t="shared" ca="1" si="4"/>
        <v>30</v>
      </c>
      <c r="I127" s="63">
        <v>0</v>
      </c>
      <c r="J127" s="63">
        <f t="shared" ca="1" si="5"/>
        <v>30</v>
      </c>
      <c r="K127" s="64">
        <f t="shared" ca="1" si="6"/>
        <v>12</v>
      </c>
      <c r="L127" s="60" t="s">
        <v>38</v>
      </c>
      <c r="M127" s="65"/>
    </row>
    <row r="128" spans="1:13" hidden="1" x14ac:dyDescent="0.25">
      <c r="A128" s="60" t="s">
        <v>124</v>
      </c>
      <c r="B128" s="60" t="s">
        <v>123</v>
      </c>
      <c r="C128" s="60" t="s">
        <v>124</v>
      </c>
      <c r="D128" s="61">
        <v>3669</v>
      </c>
      <c r="E128" s="62">
        <v>44746</v>
      </c>
      <c r="F128" s="62" t="s">
        <v>37</v>
      </c>
      <c r="G128" s="62">
        <v>45110</v>
      </c>
      <c r="H128" s="63">
        <f t="shared" ca="1" si="4"/>
        <v>12.5</v>
      </c>
      <c r="I128" s="63">
        <v>0</v>
      </c>
      <c r="J128" s="63">
        <f t="shared" ca="1" si="5"/>
        <v>12.5</v>
      </c>
      <c r="K128" s="64">
        <f t="shared" ca="1" si="6"/>
        <v>5</v>
      </c>
      <c r="L128" s="60" t="s">
        <v>38</v>
      </c>
      <c r="M128" s="65"/>
    </row>
    <row r="129" spans="1:13" hidden="1" x14ac:dyDescent="0.25">
      <c r="A129" s="60" t="s">
        <v>124</v>
      </c>
      <c r="B129" s="60" t="s">
        <v>123</v>
      </c>
      <c r="C129" s="60" t="s">
        <v>127</v>
      </c>
      <c r="D129" s="61">
        <v>3689</v>
      </c>
      <c r="E129" s="62">
        <v>44595</v>
      </c>
      <c r="F129" s="62" t="s">
        <v>37</v>
      </c>
      <c r="G129" s="62">
        <v>44959</v>
      </c>
      <c r="H129" s="63">
        <f t="shared" ca="1" si="4"/>
        <v>25</v>
      </c>
      <c r="I129" s="63">
        <v>10</v>
      </c>
      <c r="J129" s="63">
        <f t="shared" ca="1" si="5"/>
        <v>15</v>
      </c>
      <c r="K129" s="64">
        <f t="shared" ca="1" si="6"/>
        <v>10</v>
      </c>
      <c r="L129" s="60" t="s">
        <v>38</v>
      </c>
      <c r="M129" s="65"/>
    </row>
    <row r="130" spans="1:13" hidden="1" x14ac:dyDescent="0.25">
      <c r="A130" s="60" t="s">
        <v>124</v>
      </c>
      <c r="B130" s="60" t="s">
        <v>123</v>
      </c>
      <c r="C130" s="60" t="s">
        <v>128</v>
      </c>
      <c r="D130" s="61">
        <v>2885</v>
      </c>
      <c r="E130" s="62">
        <v>44827</v>
      </c>
      <c r="F130" s="62" t="s">
        <v>37</v>
      </c>
      <c r="G130" s="62">
        <v>45191</v>
      </c>
      <c r="H130" s="63">
        <f t="shared" ca="1" si="4"/>
        <v>5</v>
      </c>
      <c r="I130" s="63">
        <v>0</v>
      </c>
      <c r="J130" s="63">
        <f t="shared" ca="1" si="5"/>
        <v>5</v>
      </c>
      <c r="K130" s="64">
        <f t="shared" ca="1" si="6"/>
        <v>2</v>
      </c>
      <c r="L130" s="60" t="s">
        <v>38</v>
      </c>
      <c r="M130" s="65"/>
    </row>
    <row r="131" spans="1:13" hidden="1" x14ac:dyDescent="0.25">
      <c r="A131" s="60" t="s">
        <v>124</v>
      </c>
      <c r="B131" s="60" t="s">
        <v>123</v>
      </c>
      <c r="C131" s="60" t="s">
        <v>129</v>
      </c>
      <c r="D131" s="61">
        <v>3605</v>
      </c>
      <c r="E131" s="62">
        <v>44474</v>
      </c>
      <c r="F131" s="62" t="s">
        <v>37</v>
      </c>
      <c r="G131" s="62">
        <v>44838</v>
      </c>
      <c r="H131" s="63">
        <f t="shared" ca="1" si="4"/>
        <v>30</v>
      </c>
      <c r="I131" s="63">
        <v>0</v>
      </c>
      <c r="J131" s="63">
        <f t="shared" ca="1" si="5"/>
        <v>30</v>
      </c>
      <c r="K131" s="64">
        <f t="shared" ca="1" si="6"/>
        <v>12</v>
      </c>
      <c r="L131" s="60" t="s">
        <v>38</v>
      </c>
      <c r="M131" s="65"/>
    </row>
    <row r="132" spans="1:13" hidden="1" x14ac:dyDescent="0.25">
      <c r="A132" s="60" t="s">
        <v>124</v>
      </c>
      <c r="B132" s="60" t="s">
        <v>123</v>
      </c>
      <c r="C132" s="60" t="s">
        <v>129</v>
      </c>
      <c r="D132" s="61">
        <v>3605</v>
      </c>
      <c r="E132" s="62">
        <v>44839</v>
      </c>
      <c r="F132" s="62" t="s">
        <v>37</v>
      </c>
      <c r="G132" s="62">
        <v>45203</v>
      </c>
      <c r="H132" s="63">
        <f t="shared" ref="H132:H195" ca="1" si="7">IFERROR(IF(((DATEDIF(E132,M$2,"m"))*2.5)&gt;30,30,((DATEDIF(E132,M$2,"m"))*2.5)),"-")</f>
        <v>5</v>
      </c>
      <c r="I132" s="63">
        <v>0</v>
      </c>
      <c r="J132" s="63">
        <f t="shared" ca="1" si="5"/>
        <v>5</v>
      </c>
      <c r="K132" s="64">
        <f t="shared" ca="1" si="6"/>
        <v>2</v>
      </c>
      <c r="L132" s="60" t="s">
        <v>38</v>
      </c>
      <c r="M132" s="65"/>
    </row>
    <row r="133" spans="1:13" hidden="1" x14ac:dyDescent="0.25">
      <c r="A133" s="60" t="s">
        <v>124</v>
      </c>
      <c r="B133" s="60" t="s">
        <v>123</v>
      </c>
      <c r="C133" s="60" t="s">
        <v>130</v>
      </c>
      <c r="D133" s="61">
        <v>2750</v>
      </c>
      <c r="E133" s="62">
        <v>44261</v>
      </c>
      <c r="F133" s="62" t="s">
        <v>37</v>
      </c>
      <c r="G133" s="62">
        <v>44625</v>
      </c>
      <c r="H133" s="63">
        <f t="shared" ca="1" si="7"/>
        <v>30</v>
      </c>
      <c r="I133" s="63">
        <v>0</v>
      </c>
      <c r="J133" s="63">
        <f t="shared" ref="J133:J196" ca="1" si="8">IFERROR(H133-I133,"-")</f>
        <v>30</v>
      </c>
      <c r="K133" s="64">
        <f t="shared" ca="1" si="6"/>
        <v>12</v>
      </c>
      <c r="L133" s="60" t="s">
        <v>38</v>
      </c>
      <c r="M133" s="65"/>
    </row>
    <row r="134" spans="1:13" hidden="1" x14ac:dyDescent="0.25">
      <c r="A134" s="60" t="s">
        <v>124</v>
      </c>
      <c r="B134" s="60" t="s">
        <v>123</v>
      </c>
      <c r="C134" s="60" t="s">
        <v>130</v>
      </c>
      <c r="D134" s="61">
        <v>2750</v>
      </c>
      <c r="E134" s="62">
        <v>44626</v>
      </c>
      <c r="F134" s="62" t="s">
        <v>37</v>
      </c>
      <c r="G134" s="62">
        <v>44990</v>
      </c>
      <c r="H134" s="63">
        <f t="shared" ca="1" si="7"/>
        <v>22.5</v>
      </c>
      <c r="I134" s="63">
        <v>0</v>
      </c>
      <c r="J134" s="63">
        <f t="shared" ca="1" si="8"/>
        <v>22.5</v>
      </c>
      <c r="K134" s="64">
        <f t="shared" ca="1" si="6"/>
        <v>9</v>
      </c>
      <c r="L134" s="60" t="s">
        <v>38</v>
      </c>
      <c r="M134" s="65"/>
    </row>
    <row r="135" spans="1:13" hidden="1" x14ac:dyDescent="0.25">
      <c r="A135" s="60" t="s">
        <v>124</v>
      </c>
      <c r="B135" s="60" t="s">
        <v>123</v>
      </c>
      <c r="C135" s="60" t="s">
        <v>131</v>
      </c>
      <c r="D135" s="61">
        <v>3517</v>
      </c>
      <c r="E135" s="62">
        <v>44402</v>
      </c>
      <c r="F135" s="62" t="s">
        <v>37</v>
      </c>
      <c r="G135" s="62">
        <v>44766</v>
      </c>
      <c r="H135" s="63">
        <f t="shared" ca="1" si="7"/>
        <v>30</v>
      </c>
      <c r="I135" s="63">
        <v>5</v>
      </c>
      <c r="J135" s="63">
        <f t="shared" ca="1" si="8"/>
        <v>25</v>
      </c>
      <c r="K135" s="64">
        <f t="shared" ca="1" si="6"/>
        <v>12</v>
      </c>
      <c r="L135" s="60" t="s">
        <v>38</v>
      </c>
      <c r="M135" s="65"/>
    </row>
    <row r="136" spans="1:13" hidden="1" x14ac:dyDescent="0.25">
      <c r="A136" s="60" t="s">
        <v>124</v>
      </c>
      <c r="B136" s="60" t="s">
        <v>123</v>
      </c>
      <c r="C136" s="60" t="s">
        <v>131</v>
      </c>
      <c r="D136" s="61">
        <v>3517</v>
      </c>
      <c r="E136" s="62">
        <v>44767</v>
      </c>
      <c r="F136" s="62" t="s">
        <v>37</v>
      </c>
      <c r="G136" s="62">
        <v>45131</v>
      </c>
      <c r="H136" s="63">
        <f t="shared" ca="1" si="7"/>
        <v>10</v>
      </c>
      <c r="I136" s="63">
        <v>0</v>
      </c>
      <c r="J136" s="63">
        <f t="shared" ca="1" si="8"/>
        <v>10</v>
      </c>
      <c r="K136" s="64">
        <f t="shared" ca="1" si="6"/>
        <v>4</v>
      </c>
      <c r="L136" s="60" t="s">
        <v>38</v>
      </c>
      <c r="M136" s="65"/>
    </row>
    <row r="137" spans="1:13" hidden="1" x14ac:dyDescent="0.25">
      <c r="A137" s="60" t="s">
        <v>124</v>
      </c>
      <c r="B137" s="60" t="s">
        <v>123</v>
      </c>
      <c r="C137" s="60" t="s">
        <v>132</v>
      </c>
      <c r="D137" s="61">
        <v>3782</v>
      </c>
      <c r="E137" s="62">
        <v>44600</v>
      </c>
      <c r="F137" s="62" t="s">
        <v>37</v>
      </c>
      <c r="G137" s="62">
        <v>44964</v>
      </c>
      <c r="H137" s="63">
        <f t="shared" ca="1" si="7"/>
        <v>25</v>
      </c>
      <c r="I137" s="63">
        <v>0</v>
      </c>
      <c r="J137" s="63">
        <f t="shared" ca="1" si="8"/>
        <v>25</v>
      </c>
      <c r="K137" s="64">
        <f t="shared" ca="1" si="6"/>
        <v>10</v>
      </c>
      <c r="L137" s="60" t="s">
        <v>38</v>
      </c>
      <c r="M137" s="65"/>
    </row>
    <row r="138" spans="1:13" hidden="1" x14ac:dyDescent="0.25">
      <c r="A138" s="60" t="s">
        <v>124</v>
      </c>
      <c r="B138" s="60" t="s">
        <v>123</v>
      </c>
      <c r="C138" s="60" t="s">
        <v>133</v>
      </c>
      <c r="D138" s="61">
        <v>3752</v>
      </c>
      <c r="E138" s="62">
        <v>44369</v>
      </c>
      <c r="F138" s="62" t="s">
        <v>37</v>
      </c>
      <c r="G138" s="62">
        <v>44733</v>
      </c>
      <c r="H138" s="63">
        <f t="shared" ca="1" si="7"/>
        <v>30</v>
      </c>
      <c r="I138" s="63">
        <v>10</v>
      </c>
      <c r="J138" s="63">
        <f t="shared" ca="1" si="8"/>
        <v>20</v>
      </c>
      <c r="K138" s="64">
        <f t="shared" ref="K138:K201" ca="1" si="9">IFERROR(IF((DATEDIF(E138,M$2,"m"))&gt;12,12,(DATEDIF(E138,M$2,"m"))),"-")</f>
        <v>12</v>
      </c>
      <c r="L138" s="60" t="s">
        <v>38</v>
      </c>
      <c r="M138" s="65"/>
    </row>
    <row r="139" spans="1:13" hidden="1" x14ac:dyDescent="0.25">
      <c r="A139" s="60" t="s">
        <v>124</v>
      </c>
      <c r="B139" s="60" t="s">
        <v>123</v>
      </c>
      <c r="C139" s="60" t="s">
        <v>133</v>
      </c>
      <c r="D139" s="61">
        <v>3752</v>
      </c>
      <c r="E139" s="62">
        <v>44734</v>
      </c>
      <c r="F139" s="62" t="s">
        <v>37</v>
      </c>
      <c r="G139" s="62">
        <v>45098</v>
      </c>
      <c r="H139" s="63">
        <f t="shared" ca="1" si="7"/>
        <v>12.5</v>
      </c>
      <c r="I139" s="63">
        <v>0</v>
      </c>
      <c r="J139" s="63">
        <f t="shared" ca="1" si="8"/>
        <v>12.5</v>
      </c>
      <c r="K139" s="64">
        <f t="shared" ca="1" si="9"/>
        <v>5</v>
      </c>
      <c r="L139" s="60" t="s">
        <v>38</v>
      </c>
      <c r="M139" s="65"/>
    </row>
    <row r="140" spans="1:13" hidden="1" x14ac:dyDescent="0.25">
      <c r="A140" s="60" t="s">
        <v>124</v>
      </c>
      <c r="B140" s="60" t="s">
        <v>123</v>
      </c>
      <c r="C140" s="60" t="s">
        <v>134</v>
      </c>
      <c r="D140" s="61">
        <v>3775</v>
      </c>
      <c r="E140" s="62">
        <v>44522</v>
      </c>
      <c r="F140" s="62" t="s">
        <v>37</v>
      </c>
      <c r="G140" s="62">
        <v>44886</v>
      </c>
      <c r="H140" s="63">
        <f t="shared" ca="1" si="7"/>
        <v>30</v>
      </c>
      <c r="I140" s="63">
        <v>0</v>
      </c>
      <c r="J140" s="63">
        <f t="shared" ca="1" si="8"/>
        <v>30</v>
      </c>
      <c r="K140" s="64">
        <f t="shared" ca="1" si="9"/>
        <v>12</v>
      </c>
      <c r="L140" s="60" t="s">
        <v>38</v>
      </c>
      <c r="M140" s="65"/>
    </row>
    <row r="141" spans="1:13" hidden="1" x14ac:dyDescent="0.25">
      <c r="A141" s="60" t="s">
        <v>124</v>
      </c>
      <c r="B141" s="60" t="s">
        <v>123</v>
      </c>
      <c r="C141" s="60" t="s">
        <v>134</v>
      </c>
      <c r="D141" s="61">
        <v>3775</v>
      </c>
      <c r="E141" s="62">
        <v>44887</v>
      </c>
      <c r="F141" s="62" t="s">
        <v>37</v>
      </c>
      <c r="G141" s="62">
        <v>45251</v>
      </c>
      <c r="H141" s="63">
        <f t="shared" ca="1" si="7"/>
        <v>0</v>
      </c>
      <c r="I141" s="63">
        <v>0</v>
      </c>
      <c r="J141" s="63">
        <f t="shared" ca="1" si="8"/>
        <v>0</v>
      </c>
      <c r="K141" s="64">
        <f t="shared" ca="1" si="9"/>
        <v>0</v>
      </c>
      <c r="L141" s="60" t="s">
        <v>38</v>
      </c>
      <c r="M141" s="65"/>
    </row>
    <row r="142" spans="1:13" hidden="1" x14ac:dyDescent="0.25">
      <c r="A142" s="60" t="s">
        <v>124</v>
      </c>
      <c r="B142" s="60" t="s">
        <v>123</v>
      </c>
      <c r="C142" s="60" t="s">
        <v>135</v>
      </c>
      <c r="D142" s="61">
        <v>3730</v>
      </c>
      <c r="E142" s="62">
        <v>44589</v>
      </c>
      <c r="F142" s="62" t="s">
        <v>37</v>
      </c>
      <c r="G142" s="62">
        <v>44953</v>
      </c>
      <c r="H142" s="63">
        <f t="shared" ca="1" si="7"/>
        <v>25</v>
      </c>
      <c r="I142" s="63">
        <v>0</v>
      </c>
      <c r="J142" s="63">
        <f t="shared" ca="1" si="8"/>
        <v>25</v>
      </c>
      <c r="K142" s="64">
        <f t="shared" ca="1" si="9"/>
        <v>10</v>
      </c>
      <c r="L142" s="60" t="s">
        <v>38</v>
      </c>
      <c r="M142" s="65"/>
    </row>
    <row r="143" spans="1:13" hidden="1" x14ac:dyDescent="0.25">
      <c r="A143" s="60" t="s">
        <v>124</v>
      </c>
      <c r="B143" s="60" t="s">
        <v>123</v>
      </c>
      <c r="C143" s="60" t="s">
        <v>136</v>
      </c>
      <c r="D143" s="61">
        <v>3783</v>
      </c>
      <c r="E143" s="62">
        <v>44606</v>
      </c>
      <c r="F143" s="62" t="s">
        <v>37</v>
      </c>
      <c r="G143" s="62">
        <v>44970</v>
      </c>
      <c r="H143" s="63">
        <f t="shared" ca="1" si="7"/>
        <v>25</v>
      </c>
      <c r="I143" s="63">
        <v>0</v>
      </c>
      <c r="J143" s="63">
        <f t="shared" ca="1" si="8"/>
        <v>25</v>
      </c>
      <c r="K143" s="64">
        <f t="shared" ca="1" si="9"/>
        <v>10</v>
      </c>
      <c r="L143" s="60" t="s">
        <v>38</v>
      </c>
      <c r="M143" s="65"/>
    </row>
    <row r="144" spans="1:13" hidden="1" x14ac:dyDescent="0.25">
      <c r="A144" s="60" t="s">
        <v>112</v>
      </c>
      <c r="B144" s="60" t="s">
        <v>138</v>
      </c>
      <c r="C144" s="60" t="s">
        <v>137</v>
      </c>
      <c r="D144" s="61">
        <v>3810</v>
      </c>
      <c r="E144" s="62">
        <v>44903</v>
      </c>
      <c r="F144" s="62" t="s">
        <v>37</v>
      </c>
      <c r="G144" s="62">
        <v>45267</v>
      </c>
      <c r="H144" s="63">
        <f t="shared" ca="1" si="7"/>
        <v>0</v>
      </c>
      <c r="I144" s="63">
        <v>0</v>
      </c>
      <c r="J144" s="63">
        <f t="shared" ca="1" si="8"/>
        <v>0</v>
      </c>
      <c r="K144" s="64">
        <f t="shared" ca="1" si="9"/>
        <v>0</v>
      </c>
      <c r="L144" s="60" t="s">
        <v>38</v>
      </c>
      <c r="M144" s="65"/>
    </row>
    <row r="145" spans="1:13" hidden="1" x14ac:dyDescent="0.25">
      <c r="A145" s="60" t="s">
        <v>112</v>
      </c>
      <c r="B145" s="60" t="s">
        <v>138</v>
      </c>
      <c r="C145" s="60" t="s">
        <v>112</v>
      </c>
      <c r="D145" s="61">
        <v>2700</v>
      </c>
      <c r="E145" s="62">
        <v>44363</v>
      </c>
      <c r="F145" s="62" t="s">
        <v>37</v>
      </c>
      <c r="G145" s="62">
        <v>44727</v>
      </c>
      <c r="H145" s="63">
        <f t="shared" ca="1" si="7"/>
        <v>30</v>
      </c>
      <c r="I145" s="63">
        <v>5</v>
      </c>
      <c r="J145" s="63">
        <f t="shared" ca="1" si="8"/>
        <v>25</v>
      </c>
      <c r="K145" s="64">
        <f t="shared" ca="1" si="9"/>
        <v>12</v>
      </c>
      <c r="L145" s="60" t="s">
        <v>38</v>
      </c>
      <c r="M145" s="65"/>
    </row>
    <row r="146" spans="1:13" hidden="1" x14ac:dyDescent="0.25">
      <c r="A146" s="60" t="s">
        <v>112</v>
      </c>
      <c r="B146" s="60" t="s">
        <v>138</v>
      </c>
      <c r="C146" s="60" t="s">
        <v>112</v>
      </c>
      <c r="D146" s="61">
        <v>2700</v>
      </c>
      <c r="E146" s="62">
        <v>44728</v>
      </c>
      <c r="F146" s="62" t="s">
        <v>37</v>
      </c>
      <c r="G146" s="62">
        <v>45092</v>
      </c>
      <c r="H146" s="63">
        <f t="shared" ca="1" si="7"/>
        <v>15</v>
      </c>
      <c r="I146" s="63">
        <v>0</v>
      </c>
      <c r="J146" s="63">
        <f t="shared" ca="1" si="8"/>
        <v>15</v>
      </c>
      <c r="K146" s="64">
        <f t="shared" ca="1" si="9"/>
        <v>6</v>
      </c>
      <c r="L146" s="60" t="s">
        <v>38</v>
      </c>
      <c r="M146" s="65"/>
    </row>
    <row r="147" spans="1:13" hidden="1" x14ac:dyDescent="0.25">
      <c r="A147" s="60" t="s">
        <v>112</v>
      </c>
      <c r="B147" s="60" t="s">
        <v>138</v>
      </c>
      <c r="C147" s="60" t="s">
        <v>139</v>
      </c>
      <c r="D147" s="61">
        <v>2790</v>
      </c>
      <c r="E147" s="62">
        <v>44727</v>
      </c>
      <c r="F147" s="62" t="s">
        <v>37</v>
      </c>
      <c r="G147" s="62">
        <v>45091</v>
      </c>
      <c r="H147" s="63">
        <f t="shared" ca="1" si="7"/>
        <v>15</v>
      </c>
      <c r="I147" s="63">
        <v>0</v>
      </c>
      <c r="J147" s="63">
        <f t="shared" ca="1" si="8"/>
        <v>15</v>
      </c>
      <c r="K147" s="64">
        <f t="shared" ca="1" si="9"/>
        <v>6</v>
      </c>
      <c r="L147" s="60" t="s">
        <v>38</v>
      </c>
      <c r="M147" s="65"/>
    </row>
    <row r="148" spans="1:13" hidden="1" x14ac:dyDescent="0.25">
      <c r="A148" s="60" t="s">
        <v>112</v>
      </c>
      <c r="B148" s="60" t="s">
        <v>138</v>
      </c>
      <c r="C148" s="60" t="s">
        <v>140</v>
      </c>
      <c r="D148" s="61">
        <v>3586</v>
      </c>
      <c r="E148" s="62">
        <v>44715</v>
      </c>
      <c r="F148" s="62" t="s">
        <v>37</v>
      </c>
      <c r="G148" s="62">
        <v>45079</v>
      </c>
      <c r="H148" s="63">
        <f t="shared" ca="1" si="7"/>
        <v>15</v>
      </c>
      <c r="I148" s="63">
        <v>0</v>
      </c>
      <c r="J148" s="63">
        <f t="shared" ca="1" si="8"/>
        <v>15</v>
      </c>
      <c r="K148" s="64">
        <f t="shared" ca="1" si="9"/>
        <v>6</v>
      </c>
      <c r="L148" s="60" t="s">
        <v>38</v>
      </c>
      <c r="M148" s="65"/>
    </row>
    <row r="149" spans="1:13" hidden="1" x14ac:dyDescent="0.25">
      <c r="A149" s="60" t="s">
        <v>112</v>
      </c>
      <c r="B149" s="60" t="s">
        <v>138</v>
      </c>
      <c r="C149" s="60" t="s">
        <v>141</v>
      </c>
      <c r="D149" s="61">
        <v>3794</v>
      </c>
      <c r="E149" s="62">
        <v>44721</v>
      </c>
      <c r="F149" s="62" t="s">
        <v>37</v>
      </c>
      <c r="G149" s="62">
        <v>45085</v>
      </c>
      <c r="H149" s="63">
        <f t="shared" ca="1" si="7"/>
        <v>15</v>
      </c>
      <c r="I149" s="63">
        <v>0</v>
      </c>
      <c r="J149" s="63">
        <f t="shared" ca="1" si="8"/>
        <v>15</v>
      </c>
      <c r="K149" s="64">
        <f t="shared" ca="1" si="9"/>
        <v>6</v>
      </c>
      <c r="L149" s="60" t="s">
        <v>38</v>
      </c>
      <c r="M149" s="65"/>
    </row>
    <row r="150" spans="1:13" hidden="1" x14ac:dyDescent="0.25">
      <c r="A150" s="60" t="s">
        <v>124</v>
      </c>
      <c r="B150" s="60" t="s">
        <v>143</v>
      </c>
      <c r="C150" s="60" t="s">
        <v>142</v>
      </c>
      <c r="D150" s="61">
        <v>3771</v>
      </c>
      <c r="E150" s="62">
        <v>44503</v>
      </c>
      <c r="F150" s="62" t="s">
        <v>37</v>
      </c>
      <c r="G150" s="62">
        <v>44867</v>
      </c>
      <c r="H150" s="63">
        <f t="shared" ca="1" si="7"/>
        <v>30</v>
      </c>
      <c r="I150" s="63">
        <v>0</v>
      </c>
      <c r="J150" s="63">
        <f t="shared" ca="1" si="8"/>
        <v>30</v>
      </c>
      <c r="K150" s="64">
        <f t="shared" ca="1" si="9"/>
        <v>12</v>
      </c>
      <c r="L150" s="60" t="s">
        <v>38</v>
      </c>
      <c r="M150" s="65"/>
    </row>
    <row r="151" spans="1:13" hidden="1" x14ac:dyDescent="0.25">
      <c r="A151" s="60" t="s">
        <v>124</v>
      </c>
      <c r="B151" s="60" t="s">
        <v>143</v>
      </c>
      <c r="C151" s="60" t="s">
        <v>142</v>
      </c>
      <c r="D151" s="61">
        <v>3771</v>
      </c>
      <c r="E151" s="62">
        <v>44868</v>
      </c>
      <c r="F151" s="62" t="s">
        <v>37</v>
      </c>
      <c r="G151" s="62">
        <v>45232</v>
      </c>
      <c r="H151" s="63">
        <f t="shared" ca="1" si="7"/>
        <v>2.5</v>
      </c>
      <c r="I151" s="63">
        <v>0</v>
      </c>
      <c r="J151" s="63">
        <f t="shared" ca="1" si="8"/>
        <v>2.5</v>
      </c>
      <c r="K151" s="64">
        <f t="shared" ca="1" si="9"/>
        <v>1</v>
      </c>
      <c r="L151" s="60" t="s">
        <v>38</v>
      </c>
      <c r="M151" s="65"/>
    </row>
    <row r="152" spans="1:13" hidden="1" x14ac:dyDescent="0.25">
      <c r="A152" s="60" t="s">
        <v>124</v>
      </c>
      <c r="B152" s="60" t="s">
        <v>143</v>
      </c>
      <c r="C152" s="60" t="s">
        <v>144</v>
      </c>
      <c r="D152" s="61">
        <v>3693</v>
      </c>
      <c r="E152" s="62">
        <v>44271</v>
      </c>
      <c r="F152" s="62" t="s">
        <v>37</v>
      </c>
      <c r="G152" s="62">
        <v>44635</v>
      </c>
      <c r="H152" s="63">
        <f t="shared" ca="1" si="7"/>
        <v>30</v>
      </c>
      <c r="I152" s="63">
        <v>0</v>
      </c>
      <c r="J152" s="63">
        <f t="shared" ca="1" si="8"/>
        <v>30</v>
      </c>
      <c r="K152" s="64">
        <f t="shared" ca="1" si="9"/>
        <v>12</v>
      </c>
      <c r="L152" s="60" t="s">
        <v>38</v>
      </c>
      <c r="M152" s="65"/>
    </row>
    <row r="153" spans="1:13" hidden="1" x14ac:dyDescent="0.25">
      <c r="A153" s="60" t="s">
        <v>124</v>
      </c>
      <c r="B153" s="60" t="s">
        <v>143</v>
      </c>
      <c r="C153" s="60" t="s">
        <v>144</v>
      </c>
      <c r="D153" s="61">
        <v>3693</v>
      </c>
      <c r="E153" s="62">
        <v>44636</v>
      </c>
      <c r="F153" s="62" t="s">
        <v>37</v>
      </c>
      <c r="G153" s="62">
        <v>45000</v>
      </c>
      <c r="H153" s="63">
        <f t="shared" ca="1" si="7"/>
        <v>22.5</v>
      </c>
      <c r="I153" s="63">
        <v>0</v>
      </c>
      <c r="J153" s="63">
        <f t="shared" ca="1" si="8"/>
        <v>22.5</v>
      </c>
      <c r="K153" s="64">
        <f t="shared" ca="1" si="9"/>
        <v>9</v>
      </c>
      <c r="L153" s="60" t="s">
        <v>38</v>
      </c>
      <c r="M153" s="65"/>
    </row>
    <row r="154" spans="1:13" hidden="1" x14ac:dyDescent="0.25">
      <c r="A154" s="60" t="s">
        <v>124</v>
      </c>
      <c r="B154" s="60" t="s">
        <v>143</v>
      </c>
      <c r="C154" s="60" t="s">
        <v>145</v>
      </c>
      <c r="D154" s="61">
        <v>3346</v>
      </c>
      <c r="E154" s="62">
        <v>44852</v>
      </c>
      <c r="F154" s="62" t="s">
        <v>37</v>
      </c>
      <c r="G154" s="62">
        <v>45216</v>
      </c>
      <c r="H154" s="63">
        <f t="shared" ca="1" si="7"/>
        <v>5</v>
      </c>
      <c r="I154" s="63">
        <v>0</v>
      </c>
      <c r="J154" s="63">
        <f t="shared" ca="1" si="8"/>
        <v>5</v>
      </c>
      <c r="K154" s="64">
        <f t="shared" ca="1" si="9"/>
        <v>2</v>
      </c>
      <c r="L154" s="60" t="s">
        <v>38</v>
      </c>
      <c r="M154" s="65"/>
    </row>
    <row r="155" spans="1:13" hidden="1" x14ac:dyDescent="0.25">
      <c r="A155" s="60" t="s">
        <v>45</v>
      </c>
      <c r="B155" s="60" t="s">
        <v>147</v>
      </c>
      <c r="C155" s="60" t="s">
        <v>146</v>
      </c>
      <c r="D155" s="61">
        <v>3707</v>
      </c>
      <c r="E155" s="62">
        <v>44826</v>
      </c>
      <c r="F155" s="62" t="s">
        <v>37</v>
      </c>
      <c r="G155" s="62">
        <v>45190</v>
      </c>
      <c r="H155" s="63">
        <f t="shared" ca="1" si="7"/>
        <v>5</v>
      </c>
      <c r="I155" s="63">
        <v>0</v>
      </c>
      <c r="J155" s="63">
        <f t="shared" ca="1" si="8"/>
        <v>5</v>
      </c>
      <c r="K155" s="64">
        <f t="shared" ca="1" si="9"/>
        <v>2</v>
      </c>
      <c r="L155" s="60" t="s">
        <v>38</v>
      </c>
      <c r="M155" s="65"/>
    </row>
    <row r="156" spans="1:13" hidden="1" x14ac:dyDescent="0.25">
      <c r="A156" s="60" t="s">
        <v>45</v>
      </c>
      <c r="B156" s="60" t="s">
        <v>147</v>
      </c>
      <c r="C156" s="60" t="s">
        <v>148</v>
      </c>
      <c r="D156" s="61">
        <v>3686</v>
      </c>
      <c r="E156" s="62">
        <v>44532</v>
      </c>
      <c r="F156" s="62" t="s">
        <v>37</v>
      </c>
      <c r="G156" s="62">
        <v>44896</v>
      </c>
      <c r="H156" s="63">
        <f t="shared" ca="1" si="7"/>
        <v>30</v>
      </c>
      <c r="I156" s="63">
        <v>0</v>
      </c>
      <c r="J156" s="63">
        <f t="shared" ca="1" si="8"/>
        <v>30</v>
      </c>
      <c r="K156" s="64">
        <f t="shared" ca="1" si="9"/>
        <v>12</v>
      </c>
      <c r="L156" s="60" t="s">
        <v>38</v>
      </c>
      <c r="M156" s="65"/>
    </row>
    <row r="157" spans="1:13" hidden="1" x14ac:dyDescent="0.25">
      <c r="A157" s="60" t="s">
        <v>45</v>
      </c>
      <c r="B157" s="60" t="s">
        <v>147</v>
      </c>
      <c r="C157" s="60" t="s">
        <v>148</v>
      </c>
      <c r="D157" s="61">
        <v>3686</v>
      </c>
      <c r="E157" s="62">
        <v>44897</v>
      </c>
      <c r="F157" s="62" t="s">
        <v>37</v>
      </c>
      <c r="G157" s="62">
        <v>45261</v>
      </c>
      <c r="H157" s="63">
        <f t="shared" ca="1" si="7"/>
        <v>0</v>
      </c>
      <c r="I157" s="63">
        <v>0</v>
      </c>
      <c r="J157" s="63">
        <f t="shared" ca="1" si="8"/>
        <v>0</v>
      </c>
      <c r="K157" s="64">
        <f t="shared" ca="1" si="9"/>
        <v>0</v>
      </c>
      <c r="L157" s="60" t="s">
        <v>38</v>
      </c>
      <c r="M157" s="65"/>
    </row>
    <row r="158" spans="1:13" hidden="1" x14ac:dyDescent="0.25">
      <c r="A158" s="60" t="s">
        <v>45</v>
      </c>
      <c r="B158" s="60" t="s">
        <v>147</v>
      </c>
      <c r="C158" s="60" t="s">
        <v>149</v>
      </c>
      <c r="D158" s="61">
        <v>3414</v>
      </c>
      <c r="E158" s="62">
        <v>44451</v>
      </c>
      <c r="F158" s="62" t="s">
        <v>37</v>
      </c>
      <c r="G158" s="62">
        <v>44815</v>
      </c>
      <c r="H158" s="63">
        <f t="shared" ca="1" si="7"/>
        <v>30</v>
      </c>
      <c r="I158" s="63">
        <v>0</v>
      </c>
      <c r="J158" s="63">
        <f t="shared" ca="1" si="8"/>
        <v>30</v>
      </c>
      <c r="K158" s="64">
        <f t="shared" ca="1" si="9"/>
        <v>12</v>
      </c>
      <c r="L158" s="60" t="s">
        <v>38</v>
      </c>
      <c r="M158" s="65"/>
    </row>
    <row r="159" spans="1:13" hidden="1" x14ac:dyDescent="0.25">
      <c r="A159" s="60" t="s">
        <v>45</v>
      </c>
      <c r="B159" s="60" t="s">
        <v>147</v>
      </c>
      <c r="C159" s="60" t="s">
        <v>149</v>
      </c>
      <c r="D159" s="61">
        <v>3414</v>
      </c>
      <c r="E159" s="62">
        <v>44816</v>
      </c>
      <c r="F159" s="62" t="s">
        <v>37</v>
      </c>
      <c r="G159" s="62">
        <v>45180</v>
      </c>
      <c r="H159" s="63">
        <f t="shared" ca="1" si="7"/>
        <v>7.5</v>
      </c>
      <c r="I159" s="63">
        <v>0</v>
      </c>
      <c r="J159" s="63">
        <f t="shared" ca="1" si="8"/>
        <v>7.5</v>
      </c>
      <c r="K159" s="64">
        <f t="shared" ca="1" si="9"/>
        <v>3</v>
      </c>
      <c r="L159" s="60" t="s">
        <v>38</v>
      </c>
      <c r="M159" s="65"/>
    </row>
    <row r="160" spans="1:13" hidden="1" x14ac:dyDescent="0.25">
      <c r="A160" s="60" t="s">
        <v>152</v>
      </c>
      <c r="B160" s="60" t="s">
        <v>151</v>
      </c>
      <c r="C160" s="60" t="s">
        <v>150</v>
      </c>
      <c r="D160" s="61">
        <v>3255</v>
      </c>
      <c r="E160" s="62">
        <v>44457</v>
      </c>
      <c r="F160" s="62" t="s">
        <v>37</v>
      </c>
      <c r="G160" s="62">
        <v>44821</v>
      </c>
      <c r="H160" s="63">
        <f t="shared" ca="1" si="7"/>
        <v>30</v>
      </c>
      <c r="I160" s="63">
        <v>0</v>
      </c>
      <c r="J160" s="63">
        <f t="shared" ca="1" si="8"/>
        <v>30</v>
      </c>
      <c r="K160" s="64">
        <f t="shared" ca="1" si="9"/>
        <v>12</v>
      </c>
      <c r="L160" s="60" t="s">
        <v>38</v>
      </c>
      <c r="M160" s="65"/>
    </row>
    <row r="161" spans="1:13" hidden="1" x14ac:dyDescent="0.25">
      <c r="A161" s="60" t="s">
        <v>152</v>
      </c>
      <c r="B161" s="60" t="s">
        <v>151</v>
      </c>
      <c r="C161" s="60" t="s">
        <v>150</v>
      </c>
      <c r="D161" s="61">
        <v>3255</v>
      </c>
      <c r="E161" s="62">
        <v>44822</v>
      </c>
      <c r="F161" s="62" t="s">
        <v>37</v>
      </c>
      <c r="G161" s="62">
        <v>45186</v>
      </c>
      <c r="H161" s="63">
        <f t="shared" ca="1" si="7"/>
        <v>7.5</v>
      </c>
      <c r="I161" s="63">
        <v>0</v>
      </c>
      <c r="J161" s="63">
        <f t="shared" ca="1" si="8"/>
        <v>7.5</v>
      </c>
      <c r="K161" s="64">
        <f t="shared" ca="1" si="9"/>
        <v>3</v>
      </c>
      <c r="L161" s="60" t="s">
        <v>38</v>
      </c>
      <c r="M161" s="65"/>
    </row>
    <row r="162" spans="1:13" hidden="1" x14ac:dyDescent="0.25">
      <c r="A162" s="60" t="s">
        <v>152</v>
      </c>
      <c r="B162" s="60" t="s">
        <v>151</v>
      </c>
      <c r="C162" s="60" t="s">
        <v>153</v>
      </c>
      <c r="D162" s="61">
        <v>3803</v>
      </c>
      <c r="E162" s="62">
        <v>44844</v>
      </c>
      <c r="F162" s="62" t="s">
        <v>37</v>
      </c>
      <c r="G162" s="62">
        <v>45208</v>
      </c>
      <c r="H162" s="63">
        <f t="shared" ca="1" si="7"/>
        <v>5</v>
      </c>
      <c r="I162" s="63">
        <v>0</v>
      </c>
      <c r="J162" s="63">
        <f t="shared" ca="1" si="8"/>
        <v>5</v>
      </c>
      <c r="K162" s="64">
        <f t="shared" ca="1" si="9"/>
        <v>2</v>
      </c>
      <c r="L162" s="60" t="s">
        <v>38</v>
      </c>
      <c r="M162" s="65"/>
    </row>
    <row r="163" spans="1:13" hidden="1" x14ac:dyDescent="0.25">
      <c r="A163" s="60" t="s">
        <v>152</v>
      </c>
      <c r="B163" s="60" t="s">
        <v>151</v>
      </c>
      <c r="C163" s="60" t="s">
        <v>154</v>
      </c>
      <c r="D163" s="61">
        <v>2861</v>
      </c>
      <c r="E163" s="62">
        <v>44505</v>
      </c>
      <c r="F163" s="62" t="s">
        <v>37</v>
      </c>
      <c r="G163" s="62">
        <v>44869</v>
      </c>
      <c r="H163" s="63">
        <f t="shared" ca="1" si="7"/>
        <v>30</v>
      </c>
      <c r="I163" s="63">
        <v>0</v>
      </c>
      <c r="J163" s="63">
        <f t="shared" ca="1" si="8"/>
        <v>30</v>
      </c>
      <c r="K163" s="64">
        <f t="shared" ca="1" si="9"/>
        <v>12</v>
      </c>
      <c r="L163" s="60" t="s">
        <v>38</v>
      </c>
      <c r="M163" s="65"/>
    </row>
    <row r="164" spans="1:13" hidden="1" x14ac:dyDescent="0.25">
      <c r="A164" s="60" t="s">
        <v>152</v>
      </c>
      <c r="B164" s="60" t="s">
        <v>151</v>
      </c>
      <c r="C164" s="60" t="s">
        <v>154</v>
      </c>
      <c r="D164" s="61">
        <v>2861</v>
      </c>
      <c r="E164" s="62">
        <v>44870</v>
      </c>
      <c r="F164" s="62" t="s">
        <v>37</v>
      </c>
      <c r="G164" s="62">
        <v>45234</v>
      </c>
      <c r="H164" s="63">
        <f t="shared" ca="1" si="7"/>
        <v>2.5</v>
      </c>
      <c r="I164" s="63">
        <v>0</v>
      </c>
      <c r="J164" s="63">
        <f t="shared" ca="1" si="8"/>
        <v>2.5</v>
      </c>
      <c r="K164" s="64">
        <f t="shared" ca="1" si="9"/>
        <v>1</v>
      </c>
      <c r="L164" s="60" t="s">
        <v>38</v>
      </c>
      <c r="M164" s="65"/>
    </row>
    <row r="165" spans="1:13" hidden="1" x14ac:dyDescent="0.25">
      <c r="A165" s="60" t="s">
        <v>152</v>
      </c>
      <c r="B165" s="60" t="s">
        <v>151</v>
      </c>
      <c r="C165" s="60" t="s">
        <v>155</v>
      </c>
      <c r="D165" s="61">
        <v>3802</v>
      </c>
      <c r="E165" s="62">
        <v>44837</v>
      </c>
      <c r="F165" s="62" t="s">
        <v>37</v>
      </c>
      <c r="G165" s="62">
        <v>45201</v>
      </c>
      <c r="H165" s="63">
        <f t="shared" ca="1" si="7"/>
        <v>5</v>
      </c>
      <c r="I165" s="63">
        <v>0</v>
      </c>
      <c r="J165" s="63">
        <f t="shared" ca="1" si="8"/>
        <v>5</v>
      </c>
      <c r="K165" s="64">
        <f t="shared" ca="1" si="9"/>
        <v>2</v>
      </c>
      <c r="L165" s="60" t="s">
        <v>38</v>
      </c>
      <c r="M165" s="65"/>
    </row>
    <row r="166" spans="1:13" hidden="1" x14ac:dyDescent="0.25">
      <c r="A166" s="60" t="s">
        <v>152</v>
      </c>
      <c r="B166" s="60" t="s">
        <v>151</v>
      </c>
      <c r="C166" s="60" t="s">
        <v>156</v>
      </c>
      <c r="D166" s="61">
        <v>3742</v>
      </c>
      <c r="E166" s="62">
        <v>44291</v>
      </c>
      <c r="F166" s="62" t="s">
        <v>37</v>
      </c>
      <c r="G166" s="62">
        <v>44655</v>
      </c>
      <c r="H166" s="63">
        <f t="shared" ca="1" si="7"/>
        <v>30</v>
      </c>
      <c r="I166" s="63">
        <v>10</v>
      </c>
      <c r="J166" s="63">
        <f t="shared" ca="1" si="8"/>
        <v>20</v>
      </c>
      <c r="K166" s="64">
        <f t="shared" ca="1" si="9"/>
        <v>12</v>
      </c>
      <c r="L166" s="60" t="s">
        <v>38</v>
      </c>
      <c r="M166" s="65"/>
    </row>
    <row r="167" spans="1:13" hidden="1" x14ac:dyDescent="0.25">
      <c r="A167" s="60" t="s">
        <v>152</v>
      </c>
      <c r="B167" s="60" t="s">
        <v>151</v>
      </c>
      <c r="C167" s="60" t="s">
        <v>156</v>
      </c>
      <c r="D167" s="61">
        <v>3742</v>
      </c>
      <c r="E167" s="62">
        <v>44656</v>
      </c>
      <c r="F167" s="62" t="s">
        <v>37</v>
      </c>
      <c r="G167" s="62">
        <v>45020</v>
      </c>
      <c r="H167" s="63">
        <f t="shared" ca="1" si="7"/>
        <v>20</v>
      </c>
      <c r="I167" s="63">
        <v>0</v>
      </c>
      <c r="J167" s="63">
        <f t="shared" ca="1" si="8"/>
        <v>20</v>
      </c>
      <c r="K167" s="64">
        <f t="shared" ca="1" si="9"/>
        <v>8</v>
      </c>
      <c r="L167" s="60" t="s">
        <v>38</v>
      </c>
      <c r="M167" s="65"/>
    </row>
    <row r="168" spans="1:13" hidden="1" x14ac:dyDescent="0.25">
      <c r="A168" s="60" t="s">
        <v>152</v>
      </c>
      <c r="B168" s="60" t="s">
        <v>151</v>
      </c>
      <c r="C168" s="60" t="s">
        <v>157</v>
      </c>
      <c r="D168" s="61">
        <v>3705</v>
      </c>
      <c r="E168" s="62">
        <v>44378</v>
      </c>
      <c r="F168" s="62" t="s">
        <v>37</v>
      </c>
      <c r="G168" s="62">
        <v>44742</v>
      </c>
      <c r="H168" s="63">
        <f t="shared" ca="1" si="7"/>
        <v>30</v>
      </c>
      <c r="I168" s="63">
        <v>0</v>
      </c>
      <c r="J168" s="63">
        <f t="shared" ca="1" si="8"/>
        <v>30</v>
      </c>
      <c r="K168" s="64">
        <f t="shared" ca="1" si="9"/>
        <v>12</v>
      </c>
      <c r="L168" s="60" t="s">
        <v>38</v>
      </c>
      <c r="M168" s="65"/>
    </row>
    <row r="169" spans="1:13" hidden="1" x14ac:dyDescent="0.25">
      <c r="A169" s="60" t="s">
        <v>152</v>
      </c>
      <c r="B169" s="60" t="s">
        <v>151</v>
      </c>
      <c r="C169" s="60" t="s">
        <v>157</v>
      </c>
      <c r="D169" s="61">
        <v>3705</v>
      </c>
      <c r="E169" s="62">
        <v>44743</v>
      </c>
      <c r="F169" s="62" t="s">
        <v>37</v>
      </c>
      <c r="G169" s="62">
        <v>45107</v>
      </c>
      <c r="H169" s="63">
        <f t="shared" ca="1" si="7"/>
        <v>12.5</v>
      </c>
      <c r="I169" s="63">
        <v>0</v>
      </c>
      <c r="J169" s="63">
        <f t="shared" ca="1" si="8"/>
        <v>12.5</v>
      </c>
      <c r="K169" s="64">
        <f t="shared" ca="1" si="9"/>
        <v>5</v>
      </c>
      <c r="L169" s="60" t="s">
        <v>38</v>
      </c>
      <c r="M169" s="65"/>
    </row>
    <row r="170" spans="1:13" hidden="1" x14ac:dyDescent="0.25">
      <c r="A170" s="60" t="s">
        <v>152</v>
      </c>
      <c r="B170" s="60" t="s">
        <v>151</v>
      </c>
      <c r="C170" s="60" t="s">
        <v>158</v>
      </c>
      <c r="D170" s="61">
        <v>3679</v>
      </c>
      <c r="E170" s="62">
        <v>44745</v>
      </c>
      <c r="F170" s="62" t="s">
        <v>37</v>
      </c>
      <c r="G170" s="62">
        <v>45109</v>
      </c>
      <c r="H170" s="63">
        <f t="shared" ca="1" si="7"/>
        <v>12.5</v>
      </c>
      <c r="I170" s="63">
        <v>0</v>
      </c>
      <c r="J170" s="63">
        <f t="shared" ca="1" si="8"/>
        <v>12.5</v>
      </c>
      <c r="K170" s="64">
        <f t="shared" ca="1" si="9"/>
        <v>5</v>
      </c>
      <c r="L170" s="60" t="s">
        <v>38</v>
      </c>
      <c r="M170" s="65"/>
    </row>
    <row r="171" spans="1:13" hidden="1" x14ac:dyDescent="0.25">
      <c r="A171" s="60" t="s">
        <v>161</v>
      </c>
      <c r="B171" s="60" t="s">
        <v>160</v>
      </c>
      <c r="C171" s="60" t="s">
        <v>159</v>
      </c>
      <c r="D171" s="61">
        <v>3332</v>
      </c>
      <c r="E171" s="62">
        <v>44743</v>
      </c>
      <c r="F171" s="62" t="s">
        <v>37</v>
      </c>
      <c r="G171" s="62">
        <v>45107</v>
      </c>
      <c r="H171" s="63">
        <f t="shared" ca="1" si="7"/>
        <v>12.5</v>
      </c>
      <c r="I171" s="63">
        <v>5</v>
      </c>
      <c r="J171" s="63">
        <f t="shared" ca="1" si="8"/>
        <v>7.5</v>
      </c>
      <c r="K171" s="64">
        <f t="shared" ca="1" si="9"/>
        <v>5</v>
      </c>
      <c r="L171" s="60" t="s">
        <v>38</v>
      </c>
      <c r="M171" s="65"/>
    </row>
    <row r="172" spans="1:13" hidden="1" x14ac:dyDescent="0.25">
      <c r="A172" s="60" t="s">
        <v>161</v>
      </c>
      <c r="B172" s="60" t="s">
        <v>160</v>
      </c>
      <c r="C172" s="60" t="s">
        <v>162</v>
      </c>
      <c r="D172" s="61">
        <v>3637</v>
      </c>
      <c r="E172" s="62">
        <v>44318</v>
      </c>
      <c r="F172" s="62" t="s">
        <v>37</v>
      </c>
      <c r="G172" s="62">
        <v>44682</v>
      </c>
      <c r="H172" s="63">
        <f t="shared" ca="1" si="7"/>
        <v>30</v>
      </c>
      <c r="I172" s="63">
        <v>20</v>
      </c>
      <c r="J172" s="63">
        <f t="shared" ca="1" si="8"/>
        <v>10</v>
      </c>
      <c r="K172" s="64">
        <f t="shared" ca="1" si="9"/>
        <v>12</v>
      </c>
      <c r="L172" s="60" t="s">
        <v>38</v>
      </c>
      <c r="M172" s="65"/>
    </row>
    <row r="173" spans="1:13" hidden="1" x14ac:dyDescent="0.25">
      <c r="A173" s="60" t="s">
        <v>161</v>
      </c>
      <c r="B173" s="60" t="s">
        <v>160</v>
      </c>
      <c r="C173" s="60" t="s">
        <v>162</v>
      </c>
      <c r="D173" s="61">
        <v>3637</v>
      </c>
      <c r="E173" s="62">
        <v>44683</v>
      </c>
      <c r="F173" s="62" t="s">
        <v>37</v>
      </c>
      <c r="G173" s="62">
        <v>45047</v>
      </c>
      <c r="H173" s="63">
        <f t="shared" ca="1" si="7"/>
        <v>17.5</v>
      </c>
      <c r="I173" s="63">
        <v>0</v>
      </c>
      <c r="J173" s="63">
        <f t="shared" ca="1" si="8"/>
        <v>17.5</v>
      </c>
      <c r="K173" s="64">
        <f t="shared" ca="1" si="9"/>
        <v>7</v>
      </c>
      <c r="L173" s="60" t="s">
        <v>38</v>
      </c>
      <c r="M173" s="65"/>
    </row>
    <row r="174" spans="1:13" hidden="1" x14ac:dyDescent="0.25">
      <c r="A174" s="60" t="s">
        <v>161</v>
      </c>
      <c r="B174" s="60" t="s">
        <v>160</v>
      </c>
      <c r="C174" s="60" t="s">
        <v>163</v>
      </c>
      <c r="D174" s="61">
        <v>3687</v>
      </c>
      <c r="E174" s="62">
        <v>44542</v>
      </c>
      <c r="F174" s="62" t="s">
        <v>37</v>
      </c>
      <c r="G174" s="62">
        <v>44906</v>
      </c>
      <c r="H174" s="63">
        <f t="shared" ca="1" si="7"/>
        <v>30</v>
      </c>
      <c r="I174" s="63">
        <v>0</v>
      </c>
      <c r="J174" s="63">
        <f t="shared" ca="1" si="8"/>
        <v>30</v>
      </c>
      <c r="K174" s="64">
        <f t="shared" ca="1" si="9"/>
        <v>12</v>
      </c>
      <c r="L174" s="60" t="s">
        <v>38</v>
      </c>
      <c r="M174" s="65"/>
    </row>
    <row r="175" spans="1:13" hidden="1" x14ac:dyDescent="0.25">
      <c r="A175" s="60" t="s">
        <v>161</v>
      </c>
      <c r="B175" s="60" t="s">
        <v>160</v>
      </c>
      <c r="C175" s="60" t="s">
        <v>163</v>
      </c>
      <c r="D175" s="61">
        <v>3687</v>
      </c>
      <c r="E175" s="62">
        <v>44907</v>
      </c>
      <c r="F175" s="62" t="s">
        <v>37</v>
      </c>
      <c r="G175" s="62">
        <v>45271</v>
      </c>
      <c r="H175" s="63">
        <f t="shared" ca="1" si="7"/>
        <v>0</v>
      </c>
      <c r="I175" s="63">
        <v>0</v>
      </c>
      <c r="J175" s="63">
        <f t="shared" ca="1" si="8"/>
        <v>0</v>
      </c>
      <c r="K175" s="64">
        <f t="shared" ca="1" si="9"/>
        <v>0</v>
      </c>
      <c r="L175" s="60" t="s">
        <v>38</v>
      </c>
      <c r="M175" s="65"/>
    </row>
    <row r="176" spans="1:13" hidden="1" x14ac:dyDescent="0.25">
      <c r="A176" s="60" t="s">
        <v>161</v>
      </c>
      <c r="B176" s="60" t="s">
        <v>160</v>
      </c>
      <c r="C176" s="60" t="s">
        <v>164</v>
      </c>
      <c r="D176" s="61">
        <v>2886</v>
      </c>
      <c r="E176" s="62">
        <v>44469</v>
      </c>
      <c r="F176" s="62" t="s">
        <v>37</v>
      </c>
      <c r="G176" s="62">
        <v>44833</v>
      </c>
      <c r="H176" s="63">
        <f t="shared" ca="1" si="7"/>
        <v>30</v>
      </c>
      <c r="I176" s="63">
        <v>10</v>
      </c>
      <c r="J176" s="63">
        <f t="shared" ca="1" si="8"/>
        <v>20</v>
      </c>
      <c r="K176" s="64">
        <f t="shared" ca="1" si="9"/>
        <v>12</v>
      </c>
      <c r="L176" s="60" t="s">
        <v>38</v>
      </c>
      <c r="M176" s="65"/>
    </row>
    <row r="177" spans="1:13" hidden="1" x14ac:dyDescent="0.25">
      <c r="A177" s="60" t="s">
        <v>161</v>
      </c>
      <c r="B177" s="60" t="s">
        <v>160</v>
      </c>
      <c r="C177" s="60" t="s">
        <v>164</v>
      </c>
      <c r="D177" s="61">
        <v>2886</v>
      </c>
      <c r="E177" s="62">
        <v>44834</v>
      </c>
      <c r="F177" s="62" t="s">
        <v>37</v>
      </c>
      <c r="G177" s="62">
        <v>45198</v>
      </c>
      <c r="H177" s="63">
        <f t="shared" ca="1" si="7"/>
        <v>5</v>
      </c>
      <c r="I177" s="63">
        <v>0</v>
      </c>
      <c r="J177" s="63">
        <f t="shared" ca="1" si="8"/>
        <v>5</v>
      </c>
      <c r="K177" s="64">
        <f t="shared" ca="1" si="9"/>
        <v>2</v>
      </c>
      <c r="L177" s="60" t="s">
        <v>38</v>
      </c>
      <c r="M177" s="65"/>
    </row>
    <row r="178" spans="1:13" hidden="1" x14ac:dyDescent="0.25">
      <c r="A178" s="60" t="s">
        <v>161</v>
      </c>
      <c r="B178" s="60" t="s">
        <v>160</v>
      </c>
      <c r="C178" s="60" t="s">
        <v>161</v>
      </c>
      <c r="D178" s="61">
        <v>3264</v>
      </c>
      <c r="E178" s="62">
        <v>44868</v>
      </c>
      <c r="F178" s="62" t="s">
        <v>37</v>
      </c>
      <c r="G178" s="62">
        <v>45232</v>
      </c>
      <c r="H178" s="63">
        <f t="shared" ca="1" si="7"/>
        <v>2.5</v>
      </c>
      <c r="I178" s="63">
        <v>0</v>
      </c>
      <c r="J178" s="63">
        <f t="shared" ca="1" si="8"/>
        <v>2.5</v>
      </c>
      <c r="K178" s="64">
        <f t="shared" ca="1" si="9"/>
        <v>1</v>
      </c>
      <c r="L178" s="60" t="s">
        <v>38</v>
      </c>
      <c r="M178" s="65"/>
    </row>
    <row r="179" spans="1:13" hidden="1" x14ac:dyDescent="0.25">
      <c r="A179" s="60" t="s">
        <v>161</v>
      </c>
      <c r="B179" s="60" t="s">
        <v>160</v>
      </c>
      <c r="C179" s="60" t="s">
        <v>165</v>
      </c>
      <c r="D179" s="61">
        <v>2910</v>
      </c>
      <c r="E179" s="62">
        <v>44735</v>
      </c>
      <c r="F179" s="62" t="s">
        <v>37</v>
      </c>
      <c r="G179" s="62">
        <v>45099</v>
      </c>
      <c r="H179" s="63">
        <f t="shared" ca="1" si="7"/>
        <v>12.5</v>
      </c>
      <c r="I179" s="63">
        <v>10</v>
      </c>
      <c r="J179" s="63">
        <f t="shared" ca="1" si="8"/>
        <v>2.5</v>
      </c>
      <c r="K179" s="64">
        <f t="shared" ca="1" si="9"/>
        <v>5</v>
      </c>
      <c r="L179" s="60" t="s">
        <v>38</v>
      </c>
      <c r="M179" s="65"/>
    </row>
    <row r="180" spans="1:13" hidden="1" x14ac:dyDescent="0.25">
      <c r="A180" s="60" t="s">
        <v>161</v>
      </c>
      <c r="B180" s="60" t="s">
        <v>160</v>
      </c>
      <c r="C180" s="60" t="s">
        <v>166</v>
      </c>
      <c r="D180" s="61">
        <v>3634</v>
      </c>
      <c r="E180" s="62">
        <v>44660</v>
      </c>
      <c r="F180" s="62" t="s">
        <v>37</v>
      </c>
      <c r="G180" s="62">
        <v>45024</v>
      </c>
      <c r="H180" s="63">
        <f t="shared" ca="1" si="7"/>
        <v>20</v>
      </c>
      <c r="I180" s="63">
        <v>0</v>
      </c>
      <c r="J180" s="63">
        <f t="shared" ca="1" si="8"/>
        <v>20</v>
      </c>
      <c r="K180" s="64">
        <f t="shared" ca="1" si="9"/>
        <v>8</v>
      </c>
      <c r="L180" s="60" t="s">
        <v>38</v>
      </c>
      <c r="M180" s="65"/>
    </row>
    <row r="181" spans="1:13" hidden="1" x14ac:dyDescent="0.25">
      <c r="A181" s="60" t="s">
        <v>169</v>
      </c>
      <c r="B181" s="60" t="s">
        <v>168</v>
      </c>
      <c r="C181" s="60" t="s">
        <v>167</v>
      </c>
      <c r="D181" s="61">
        <v>3675</v>
      </c>
      <c r="E181" s="62">
        <v>44716</v>
      </c>
      <c r="F181" s="62" t="s">
        <v>37</v>
      </c>
      <c r="G181" s="62">
        <v>45080</v>
      </c>
      <c r="H181" s="63">
        <f t="shared" ca="1" si="7"/>
        <v>15</v>
      </c>
      <c r="I181" s="63">
        <v>0</v>
      </c>
      <c r="J181" s="63">
        <f t="shared" ca="1" si="8"/>
        <v>15</v>
      </c>
      <c r="K181" s="64">
        <f t="shared" ca="1" si="9"/>
        <v>6</v>
      </c>
      <c r="L181" s="60" t="s">
        <v>38</v>
      </c>
      <c r="M181" s="65"/>
    </row>
    <row r="182" spans="1:13" hidden="1" x14ac:dyDescent="0.25">
      <c r="A182" s="60" t="s">
        <v>169</v>
      </c>
      <c r="B182" s="60" t="s">
        <v>168</v>
      </c>
      <c r="C182" s="60" t="s">
        <v>169</v>
      </c>
      <c r="D182" s="61">
        <v>3069</v>
      </c>
      <c r="E182" s="62">
        <v>44338</v>
      </c>
      <c r="F182" s="62" t="s">
        <v>37</v>
      </c>
      <c r="G182" s="62">
        <v>44702</v>
      </c>
      <c r="H182" s="63">
        <f t="shared" ca="1" si="7"/>
        <v>30</v>
      </c>
      <c r="I182" s="63">
        <v>5</v>
      </c>
      <c r="J182" s="63">
        <f t="shared" ca="1" si="8"/>
        <v>25</v>
      </c>
      <c r="K182" s="64">
        <f t="shared" ca="1" si="9"/>
        <v>12</v>
      </c>
      <c r="L182" s="60" t="s">
        <v>38</v>
      </c>
      <c r="M182" s="65"/>
    </row>
    <row r="183" spans="1:13" hidden="1" x14ac:dyDescent="0.25">
      <c r="A183" s="60" t="s">
        <v>169</v>
      </c>
      <c r="B183" s="60" t="s">
        <v>168</v>
      </c>
      <c r="C183" s="60" t="s">
        <v>169</v>
      </c>
      <c r="D183" s="61">
        <v>3069</v>
      </c>
      <c r="E183" s="62">
        <v>44703</v>
      </c>
      <c r="F183" s="62" t="s">
        <v>37</v>
      </c>
      <c r="G183" s="62">
        <v>45067</v>
      </c>
      <c r="H183" s="63">
        <f t="shared" ca="1" si="7"/>
        <v>15</v>
      </c>
      <c r="I183" s="63">
        <v>0</v>
      </c>
      <c r="J183" s="63">
        <f t="shared" ca="1" si="8"/>
        <v>15</v>
      </c>
      <c r="K183" s="64">
        <f t="shared" ca="1" si="9"/>
        <v>6</v>
      </c>
      <c r="L183" s="60" t="s">
        <v>38</v>
      </c>
      <c r="M183" s="65"/>
    </row>
    <row r="184" spans="1:13" hidden="1" x14ac:dyDescent="0.25">
      <c r="A184" s="60" t="s">
        <v>172</v>
      </c>
      <c r="B184" s="60" t="s">
        <v>171</v>
      </c>
      <c r="C184" s="60" t="s">
        <v>170</v>
      </c>
      <c r="D184" s="61">
        <v>3275</v>
      </c>
      <c r="E184" s="62">
        <v>44755</v>
      </c>
      <c r="F184" s="62" t="s">
        <v>37</v>
      </c>
      <c r="G184" s="62">
        <v>45119</v>
      </c>
      <c r="H184" s="63">
        <f t="shared" ca="1" si="7"/>
        <v>12.5</v>
      </c>
      <c r="I184" s="63">
        <v>0</v>
      </c>
      <c r="J184" s="63">
        <f t="shared" ca="1" si="8"/>
        <v>12.5</v>
      </c>
      <c r="K184" s="64">
        <f t="shared" ca="1" si="9"/>
        <v>5</v>
      </c>
      <c r="L184" s="60" t="s">
        <v>38</v>
      </c>
      <c r="M184" s="65"/>
    </row>
    <row r="185" spans="1:13" hidden="1" x14ac:dyDescent="0.25">
      <c r="A185" s="60" t="s">
        <v>172</v>
      </c>
      <c r="B185" s="60" t="s">
        <v>171</v>
      </c>
      <c r="C185" s="60" t="s">
        <v>173</v>
      </c>
      <c r="D185" s="61">
        <v>3666</v>
      </c>
      <c r="E185" s="62">
        <v>44458</v>
      </c>
      <c r="F185" s="62" t="s">
        <v>37</v>
      </c>
      <c r="G185" s="62">
        <v>44822</v>
      </c>
      <c r="H185" s="63">
        <f t="shared" ca="1" si="7"/>
        <v>30</v>
      </c>
      <c r="I185" s="63">
        <v>5</v>
      </c>
      <c r="J185" s="63">
        <f t="shared" ca="1" si="8"/>
        <v>25</v>
      </c>
      <c r="K185" s="64">
        <f t="shared" ca="1" si="9"/>
        <v>12</v>
      </c>
      <c r="L185" s="60" t="s">
        <v>38</v>
      </c>
      <c r="M185" s="65"/>
    </row>
    <row r="186" spans="1:13" hidden="1" x14ac:dyDescent="0.25">
      <c r="A186" s="60" t="s">
        <v>172</v>
      </c>
      <c r="B186" s="60" t="s">
        <v>171</v>
      </c>
      <c r="C186" s="60" t="s">
        <v>173</v>
      </c>
      <c r="D186" s="61">
        <v>3666</v>
      </c>
      <c r="E186" s="62">
        <v>44823</v>
      </c>
      <c r="F186" s="62" t="s">
        <v>37</v>
      </c>
      <c r="G186" s="62">
        <v>45187</v>
      </c>
      <c r="H186" s="63">
        <f t="shared" ca="1" si="7"/>
        <v>7.5</v>
      </c>
      <c r="I186" s="63">
        <v>0</v>
      </c>
      <c r="J186" s="63">
        <f t="shared" ca="1" si="8"/>
        <v>7.5</v>
      </c>
      <c r="K186" s="64">
        <f t="shared" ca="1" si="9"/>
        <v>3</v>
      </c>
      <c r="L186" s="60" t="s">
        <v>38</v>
      </c>
      <c r="M186" s="65"/>
    </row>
    <row r="187" spans="1:13" hidden="1" x14ac:dyDescent="0.25">
      <c r="A187" s="60" t="s">
        <v>172</v>
      </c>
      <c r="B187" s="60" t="s">
        <v>171</v>
      </c>
      <c r="C187" s="60" t="s">
        <v>174</v>
      </c>
      <c r="D187" s="61">
        <v>3408</v>
      </c>
      <c r="E187" s="62">
        <v>44424</v>
      </c>
      <c r="F187" s="62" t="s">
        <v>37</v>
      </c>
      <c r="G187" s="62">
        <v>44788</v>
      </c>
      <c r="H187" s="63">
        <f t="shared" ca="1" si="7"/>
        <v>30</v>
      </c>
      <c r="I187" s="63">
        <v>20</v>
      </c>
      <c r="J187" s="63">
        <f t="shared" ca="1" si="8"/>
        <v>10</v>
      </c>
      <c r="K187" s="64">
        <f t="shared" ca="1" si="9"/>
        <v>12</v>
      </c>
      <c r="L187" s="60" t="s">
        <v>38</v>
      </c>
      <c r="M187" s="65"/>
    </row>
    <row r="188" spans="1:13" hidden="1" x14ac:dyDescent="0.25">
      <c r="A188" s="60" t="s">
        <v>172</v>
      </c>
      <c r="B188" s="60" t="s">
        <v>171</v>
      </c>
      <c r="C188" s="60" t="s">
        <v>174</v>
      </c>
      <c r="D188" s="61">
        <v>3408</v>
      </c>
      <c r="E188" s="62">
        <v>44789</v>
      </c>
      <c r="F188" s="62" t="s">
        <v>37</v>
      </c>
      <c r="G188" s="62">
        <v>45153</v>
      </c>
      <c r="H188" s="63">
        <f t="shared" ca="1" si="7"/>
        <v>10</v>
      </c>
      <c r="I188" s="63">
        <v>0</v>
      </c>
      <c r="J188" s="63">
        <f t="shared" ca="1" si="8"/>
        <v>10</v>
      </c>
      <c r="K188" s="64">
        <f t="shared" ca="1" si="9"/>
        <v>4</v>
      </c>
      <c r="L188" s="60" t="s">
        <v>38</v>
      </c>
      <c r="M188" s="65"/>
    </row>
    <row r="189" spans="1:13" hidden="1" x14ac:dyDescent="0.25">
      <c r="A189" s="60" t="s">
        <v>172</v>
      </c>
      <c r="B189" s="60" t="s">
        <v>171</v>
      </c>
      <c r="C189" s="60" t="s">
        <v>175</v>
      </c>
      <c r="D189" s="61">
        <v>3717</v>
      </c>
      <c r="E189" s="62">
        <v>44533</v>
      </c>
      <c r="F189" s="62" t="s">
        <v>37</v>
      </c>
      <c r="G189" s="62">
        <v>44897</v>
      </c>
      <c r="H189" s="63">
        <f t="shared" ca="1" si="7"/>
        <v>30</v>
      </c>
      <c r="I189" s="63">
        <v>10</v>
      </c>
      <c r="J189" s="63">
        <f t="shared" ca="1" si="8"/>
        <v>20</v>
      </c>
      <c r="K189" s="64">
        <f t="shared" ca="1" si="9"/>
        <v>12</v>
      </c>
      <c r="L189" s="60" t="s">
        <v>38</v>
      </c>
      <c r="M189" s="65"/>
    </row>
    <row r="190" spans="1:13" hidden="1" x14ac:dyDescent="0.25">
      <c r="A190" s="60" t="s">
        <v>172</v>
      </c>
      <c r="B190" s="60" t="s">
        <v>171</v>
      </c>
      <c r="C190" s="60" t="s">
        <v>175</v>
      </c>
      <c r="D190" s="61">
        <v>3717</v>
      </c>
      <c r="E190" s="62">
        <v>44898</v>
      </c>
      <c r="F190" s="62" t="s">
        <v>37</v>
      </c>
      <c r="G190" s="62">
        <v>45262</v>
      </c>
      <c r="H190" s="63">
        <f t="shared" ca="1" si="7"/>
        <v>0</v>
      </c>
      <c r="I190" s="63">
        <v>0</v>
      </c>
      <c r="J190" s="63">
        <f t="shared" ca="1" si="8"/>
        <v>0</v>
      </c>
      <c r="K190" s="64">
        <f t="shared" ca="1" si="9"/>
        <v>0</v>
      </c>
      <c r="L190" s="60" t="s">
        <v>38</v>
      </c>
      <c r="M190" s="65"/>
    </row>
    <row r="191" spans="1:13" hidden="1" x14ac:dyDescent="0.25">
      <c r="A191" s="60" t="s">
        <v>172</v>
      </c>
      <c r="B191" s="60" t="s">
        <v>171</v>
      </c>
      <c r="C191" s="60" t="s">
        <v>176</v>
      </c>
      <c r="D191" s="61">
        <v>3503</v>
      </c>
      <c r="E191" s="62">
        <v>44287</v>
      </c>
      <c r="F191" s="62" t="s">
        <v>37</v>
      </c>
      <c r="G191" s="62">
        <v>44651</v>
      </c>
      <c r="H191" s="63">
        <f t="shared" ca="1" si="7"/>
        <v>30</v>
      </c>
      <c r="I191" s="63">
        <v>5</v>
      </c>
      <c r="J191" s="63">
        <f t="shared" ca="1" si="8"/>
        <v>25</v>
      </c>
      <c r="K191" s="64">
        <f t="shared" ca="1" si="9"/>
        <v>12</v>
      </c>
      <c r="L191" s="60" t="s">
        <v>38</v>
      </c>
      <c r="M191" s="65"/>
    </row>
    <row r="192" spans="1:13" hidden="1" x14ac:dyDescent="0.25">
      <c r="A192" s="60" t="s">
        <v>172</v>
      </c>
      <c r="B192" s="60" t="s">
        <v>171</v>
      </c>
      <c r="C192" s="60" t="s">
        <v>176</v>
      </c>
      <c r="D192" s="61">
        <v>3503</v>
      </c>
      <c r="E192" s="62">
        <v>44652</v>
      </c>
      <c r="F192" s="62" t="s">
        <v>37</v>
      </c>
      <c r="G192" s="62">
        <v>45016</v>
      </c>
      <c r="H192" s="63">
        <f t="shared" ca="1" si="7"/>
        <v>20</v>
      </c>
      <c r="I192" s="63">
        <v>0</v>
      </c>
      <c r="J192" s="63">
        <f t="shared" ca="1" si="8"/>
        <v>20</v>
      </c>
      <c r="K192" s="64">
        <f t="shared" ca="1" si="9"/>
        <v>8</v>
      </c>
      <c r="L192" s="60" t="s">
        <v>38</v>
      </c>
      <c r="M192" s="65"/>
    </row>
    <row r="193" spans="1:13" hidden="1" x14ac:dyDescent="0.25">
      <c r="A193" s="60" t="s">
        <v>172</v>
      </c>
      <c r="B193" s="60" t="s">
        <v>171</v>
      </c>
      <c r="C193" s="60" t="s">
        <v>177</v>
      </c>
      <c r="D193" s="61">
        <v>3780</v>
      </c>
      <c r="E193" s="62">
        <v>44536</v>
      </c>
      <c r="F193" s="62" t="s">
        <v>37</v>
      </c>
      <c r="G193" s="62">
        <v>44900</v>
      </c>
      <c r="H193" s="63">
        <f t="shared" ca="1" si="7"/>
        <v>30</v>
      </c>
      <c r="I193" s="63">
        <v>10</v>
      </c>
      <c r="J193" s="63">
        <f t="shared" ca="1" si="8"/>
        <v>20</v>
      </c>
      <c r="K193" s="64">
        <f t="shared" ca="1" si="9"/>
        <v>12</v>
      </c>
      <c r="L193" s="60" t="s">
        <v>38</v>
      </c>
      <c r="M193" s="65"/>
    </row>
    <row r="194" spans="1:13" hidden="1" x14ac:dyDescent="0.25">
      <c r="A194" s="60" t="s">
        <v>172</v>
      </c>
      <c r="B194" s="60" t="s">
        <v>171</v>
      </c>
      <c r="C194" s="60" t="s">
        <v>177</v>
      </c>
      <c r="D194" s="61">
        <v>3780</v>
      </c>
      <c r="E194" s="62">
        <v>44901</v>
      </c>
      <c r="F194" s="62" t="s">
        <v>37</v>
      </c>
      <c r="G194" s="62">
        <v>45265</v>
      </c>
      <c r="H194" s="63">
        <f t="shared" ca="1" si="7"/>
        <v>0</v>
      </c>
      <c r="I194" s="63">
        <v>0</v>
      </c>
      <c r="J194" s="63">
        <f t="shared" ca="1" si="8"/>
        <v>0</v>
      </c>
      <c r="K194" s="64">
        <f t="shared" ca="1" si="9"/>
        <v>0</v>
      </c>
      <c r="L194" s="60" t="s">
        <v>38</v>
      </c>
      <c r="M194" s="65"/>
    </row>
    <row r="195" spans="1:13" hidden="1" x14ac:dyDescent="0.25">
      <c r="A195" s="60" t="s">
        <v>172</v>
      </c>
      <c r="B195" s="60" t="s">
        <v>171</v>
      </c>
      <c r="C195" s="60" t="s">
        <v>178</v>
      </c>
      <c r="D195" s="61">
        <v>3778</v>
      </c>
      <c r="E195" s="62">
        <v>44529</v>
      </c>
      <c r="F195" s="62" t="s">
        <v>37</v>
      </c>
      <c r="G195" s="62">
        <v>44893</v>
      </c>
      <c r="H195" s="63">
        <f t="shared" ca="1" si="7"/>
        <v>30</v>
      </c>
      <c r="I195" s="63">
        <v>5</v>
      </c>
      <c r="J195" s="63">
        <f t="shared" ca="1" si="8"/>
        <v>25</v>
      </c>
      <c r="K195" s="64">
        <f t="shared" ca="1" si="9"/>
        <v>12</v>
      </c>
      <c r="L195" s="60" t="s">
        <v>38</v>
      </c>
      <c r="M195" s="65"/>
    </row>
    <row r="196" spans="1:13" hidden="1" x14ac:dyDescent="0.25">
      <c r="A196" s="60" t="s">
        <v>172</v>
      </c>
      <c r="B196" s="60" t="s">
        <v>171</v>
      </c>
      <c r="C196" s="60" t="s">
        <v>178</v>
      </c>
      <c r="D196" s="61">
        <v>3778</v>
      </c>
      <c r="E196" s="62">
        <v>44894</v>
      </c>
      <c r="F196" s="62" t="s">
        <v>37</v>
      </c>
      <c r="G196" s="62">
        <v>45258</v>
      </c>
      <c r="H196" s="63">
        <f t="shared" ref="H196:H213" ca="1" si="10">IFERROR(IF(((DATEDIF(E196,M$2,"m"))*2.5)&gt;30,30,((DATEDIF(E196,M$2,"m"))*2.5)),"-")</f>
        <v>0</v>
      </c>
      <c r="I196" s="63">
        <v>0</v>
      </c>
      <c r="J196" s="63">
        <f t="shared" ca="1" si="8"/>
        <v>0</v>
      </c>
      <c r="K196" s="64">
        <f t="shared" ca="1" si="9"/>
        <v>0</v>
      </c>
      <c r="L196" s="60" t="s">
        <v>38</v>
      </c>
      <c r="M196" s="65"/>
    </row>
    <row r="197" spans="1:13" hidden="1" x14ac:dyDescent="0.25">
      <c r="A197" s="60" t="s">
        <v>172</v>
      </c>
      <c r="B197" s="60" t="s">
        <v>171</v>
      </c>
      <c r="C197" s="60" t="s">
        <v>179</v>
      </c>
      <c r="D197" s="61">
        <v>3612</v>
      </c>
      <c r="E197" s="62">
        <v>44599</v>
      </c>
      <c r="F197" s="62" t="s">
        <v>37</v>
      </c>
      <c r="G197" s="62">
        <v>44963</v>
      </c>
      <c r="H197" s="63">
        <f t="shared" ca="1" si="10"/>
        <v>25</v>
      </c>
      <c r="I197" s="63">
        <v>10</v>
      </c>
      <c r="J197" s="63">
        <f t="shared" ref="J197:J213" ca="1" si="11">IFERROR(H197-I197,"-")</f>
        <v>15</v>
      </c>
      <c r="K197" s="64">
        <f t="shared" ca="1" si="9"/>
        <v>10</v>
      </c>
      <c r="L197" s="60" t="s">
        <v>38</v>
      </c>
      <c r="M197" s="65"/>
    </row>
    <row r="198" spans="1:13" hidden="1" x14ac:dyDescent="0.25">
      <c r="A198" s="60" t="s">
        <v>172</v>
      </c>
      <c r="B198" s="60" t="s">
        <v>171</v>
      </c>
      <c r="C198" s="60" t="s">
        <v>180</v>
      </c>
      <c r="D198" s="61">
        <v>3708</v>
      </c>
      <c r="E198" s="62">
        <v>44463</v>
      </c>
      <c r="F198" s="62" t="s">
        <v>37</v>
      </c>
      <c r="G198" s="62">
        <v>44827</v>
      </c>
      <c r="H198" s="63">
        <f t="shared" ca="1" si="10"/>
        <v>30</v>
      </c>
      <c r="I198" s="63">
        <v>10</v>
      </c>
      <c r="J198" s="63">
        <f t="shared" ca="1" si="11"/>
        <v>20</v>
      </c>
      <c r="K198" s="64">
        <f t="shared" ca="1" si="9"/>
        <v>12</v>
      </c>
      <c r="L198" s="60" t="s">
        <v>38</v>
      </c>
      <c r="M198" s="65"/>
    </row>
    <row r="199" spans="1:13" hidden="1" x14ac:dyDescent="0.25">
      <c r="A199" s="60" t="s">
        <v>172</v>
      </c>
      <c r="B199" s="60" t="s">
        <v>171</v>
      </c>
      <c r="C199" s="60" t="s">
        <v>180</v>
      </c>
      <c r="D199" s="61">
        <v>3708</v>
      </c>
      <c r="E199" s="62">
        <v>44828</v>
      </c>
      <c r="F199" s="62" t="s">
        <v>37</v>
      </c>
      <c r="G199" s="62">
        <v>45192</v>
      </c>
      <c r="H199" s="63">
        <f t="shared" ca="1" si="10"/>
        <v>5</v>
      </c>
      <c r="I199" s="63">
        <v>0</v>
      </c>
      <c r="J199" s="63">
        <f t="shared" ca="1" si="11"/>
        <v>5</v>
      </c>
      <c r="K199" s="64">
        <f t="shared" ca="1" si="9"/>
        <v>2</v>
      </c>
      <c r="L199" s="60" t="s">
        <v>38</v>
      </c>
      <c r="M199" s="65"/>
    </row>
    <row r="200" spans="1:13" hidden="1" x14ac:dyDescent="0.25">
      <c r="A200" s="60" t="s">
        <v>172</v>
      </c>
      <c r="B200" s="60" t="s">
        <v>171</v>
      </c>
      <c r="C200" s="60" t="s">
        <v>181</v>
      </c>
      <c r="D200" s="61">
        <v>3791</v>
      </c>
      <c r="E200" s="62">
        <v>44699</v>
      </c>
      <c r="F200" s="62" t="s">
        <v>37</v>
      </c>
      <c r="G200" s="62">
        <v>45063</v>
      </c>
      <c r="H200" s="63">
        <f t="shared" ca="1" si="10"/>
        <v>17.5</v>
      </c>
      <c r="I200" s="63">
        <v>10</v>
      </c>
      <c r="J200" s="63">
        <f t="shared" ca="1" si="11"/>
        <v>7.5</v>
      </c>
      <c r="K200" s="64">
        <f t="shared" ca="1" si="9"/>
        <v>7</v>
      </c>
      <c r="L200" s="60" t="s">
        <v>38</v>
      </c>
      <c r="M200" s="65"/>
    </row>
    <row r="201" spans="1:13" hidden="1" x14ac:dyDescent="0.25">
      <c r="A201" s="60" t="s">
        <v>172</v>
      </c>
      <c r="B201" s="60" t="s">
        <v>171</v>
      </c>
      <c r="C201" s="60" t="s">
        <v>182</v>
      </c>
      <c r="D201" s="61">
        <v>3809</v>
      </c>
      <c r="E201" s="62">
        <v>44903</v>
      </c>
      <c r="F201" s="62" t="s">
        <v>37</v>
      </c>
      <c r="G201" s="62">
        <v>45267</v>
      </c>
      <c r="H201" s="63">
        <f t="shared" ca="1" si="10"/>
        <v>0</v>
      </c>
      <c r="I201" s="63">
        <v>0</v>
      </c>
      <c r="J201" s="63">
        <f t="shared" ca="1" si="11"/>
        <v>0</v>
      </c>
      <c r="K201" s="64">
        <f t="shared" ca="1" si="9"/>
        <v>0</v>
      </c>
      <c r="L201" s="60" t="s">
        <v>38</v>
      </c>
      <c r="M201" s="65"/>
    </row>
    <row r="202" spans="1:13" hidden="1" x14ac:dyDescent="0.25">
      <c r="A202" s="60" t="s">
        <v>172</v>
      </c>
      <c r="B202" s="60" t="s">
        <v>171</v>
      </c>
      <c r="C202" s="60" t="s">
        <v>183</v>
      </c>
      <c r="D202" s="61">
        <v>3589</v>
      </c>
      <c r="E202" s="62">
        <v>44774</v>
      </c>
      <c r="F202" s="62" t="s">
        <v>37</v>
      </c>
      <c r="G202" s="62">
        <v>45138</v>
      </c>
      <c r="H202" s="63">
        <f t="shared" ca="1" si="10"/>
        <v>10</v>
      </c>
      <c r="I202" s="63">
        <v>0</v>
      </c>
      <c r="J202" s="63">
        <f t="shared" ca="1" si="11"/>
        <v>10</v>
      </c>
      <c r="K202" s="64">
        <f t="shared" ref="K202:K213" ca="1" si="12">IFERROR(IF((DATEDIF(E202,M$2,"m"))&gt;12,12,(DATEDIF(E202,M$2,"m"))),"-")</f>
        <v>4</v>
      </c>
      <c r="L202" s="60" t="s">
        <v>38</v>
      </c>
      <c r="M202" s="65"/>
    </row>
    <row r="203" spans="1:13" hidden="1" x14ac:dyDescent="0.25">
      <c r="A203" s="60" t="s">
        <v>172</v>
      </c>
      <c r="B203" s="60" t="s">
        <v>171</v>
      </c>
      <c r="C203" s="60" t="s">
        <v>184</v>
      </c>
      <c r="D203" s="61">
        <v>3703</v>
      </c>
      <c r="E203" s="62">
        <v>44707</v>
      </c>
      <c r="F203" s="62" t="s">
        <v>37</v>
      </c>
      <c r="G203" s="62">
        <v>45071</v>
      </c>
      <c r="H203" s="63">
        <f t="shared" ca="1" si="10"/>
        <v>15</v>
      </c>
      <c r="I203" s="63">
        <v>0</v>
      </c>
      <c r="J203" s="63">
        <f t="shared" ca="1" si="11"/>
        <v>15</v>
      </c>
      <c r="K203" s="64">
        <f t="shared" ca="1" si="12"/>
        <v>6</v>
      </c>
      <c r="L203" s="60" t="s">
        <v>38</v>
      </c>
      <c r="M203" s="65"/>
    </row>
    <row r="204" spans="1:13" hidden="1" x14ac:dyDescent="0.25">
      <c r="A204" s="60" t="s">
        <v>172</v>
      </c>
      <c r="B204" s="60" t="s">
        <v>171</v>
      </c>
      <c r="C204" s="60" t="s">
        <v>185</v>
      </c>
      <c r="D204" s="61">
        <v>3804</v>
      </c>
      <c r="E204" s="62">
        <v>44844</v>
      </c>
      <c r="F204" s="62" t="s">
        <v>37</v>
      </c>
      <c r="G204" s="62">
        <v>45208</v>
      </c>
      <c r="H204" s="63">
        <f t="shared" ca="1" si="10"/>
        <v>5</v>
      </c>
      <c r="I204" s="63">
        <v>0</v>
      </c>
      <c r="J204" s="63">
        <f t="shared" ca="1" si="11"/>
        <v>5</v>
      </c>
      <c r="K204" s="64">
        <f t="shared" ca="1" si="12"/>
        <v>2</v>
      </c>
      <c r="L204" s="60" t="s">
        <v>38</v>
      </c>
      <c r="M204" s="65"/>
    </row>
    <row r="205" spans="1:13" hidden="1" x14ac:dyDescent="0.25">
      <c r="A205" s="60" t="s">
        <v>172</v>
      </c>
      <c r="B205" s="60" t="s">
        <v>171</v>
      </c>
      <c r="C205" s="60" t="s">
        <v>186</v>
      </c>
      <c r="D205" s="61">
        <v>3805</v>
      </c>
      <c r="E205" s="62">
        <v>44866</v>
      </c>
      <c r="F205" s="62" t="s">
        <v>37</v>
      </c>
      <c r="G205" s="62">
        <v>45230</v>
      </c>
      <c r="H205" s="63">
        <f t="shared" ca="1" si="10"/>
        <v>2.5</v>
      </c>
      <c r="I205" s="63">
        <v>0</v>
      </c>
      <c r="J205" s="63">
        <f t="shared" ca="1" si="11"/>
        <v>2.5</v>
      </c>
      <c r="K205" s="64">
        <f t="shared" ca="1" si="12"/>
        <v>1</v>
      </c>
      <c r="L205" s="60" t="s">
        <v>38</v>
      </c>
      <c r="M205" s="65"/>
    </row>
    <row r="206" spans="1:13" hidden="1" x14ac:dyDescent="0.25">
      <c r="A206" s="60" t="s">
        <v>172</v>
      </c>
      <c r="B206" s="60" t="s">
        <v>171</v>
      </c>
      <c r="C206" s="60" t="s">
        <v>172</v>
      </c>
      <c r="D206" s="61">
        <v>3473</v>
      </c>
      <c r="E206" s="62">
        <v>44484</v>
      </c>
      <c r="F206" s="62" t="s">
        <v>37</v>
      </c>
      <c r="G206" s="62">
        <v>44848</v>
      </c>
      <c r="H206" s="63">
        <f t="shared" ca="1" si="10"/>
        <v>30</v>
      </c>
      <c r="I206" s="63">
        <v>5</v>
      </c>
      <c r="J206" s="63">
        <f t="shared" ca="1" si="11"/>
        <v>25</v>
      </c>
      <c r="K206" s="64">
        <f t="shared" ca="1" si="12"/>
        <v>12</v>
      </c>
      <c r="L206" s="60" t="s">
        <v>38</v>
      </c>
      <c r="M206" s="65"/>
    </row>
    <row r="207" spans="1:13" hidden="1" x14ac:dyDescent="0.25">
      <c r="A207" s="60" t="s">
        <v>172</v>
      </c>
      <c r="B207" s="60" t="s">
        <v>171</v>
      </c>
      <c r="C207" s="60" t="s">
        <v>172</v>
      </c>
      <c r="D207" s="61">
        <v>3473</v>
      </c>
      <c r="E207" s="62">
        <v>44849</v>
      </c>
      <c r="F207" s="62" t="s">
        <v>37</v>
      </c>
      <c r="G207" s="62">
        <v>45213</v>
      </c>
      <c r="H207" s="63">
        <f t="shared" ca="1" si="10"/>
        <v>5</v>
      </c>
      <c r="I207" s="63">
        <v>0</v>
      </c>
      <c r="J207" s="63">
        <f t="shared" ca="1" si="11"/>
        <v>5</v>
      </c>
      <c r="K207" s="64">
        <f t="shared" ca="1" si="12"/>
        <v>2</v>
      </c>
      <c r="L207" s="60" t="s">
        <v>38</v>
      </c>
      <c r="M207" s="65"/>
    </row>
    <row r="208" spans="1:13" hidden="1" x14ac:dyDescent="0.25">
      <c r="A208" s="60" t="s">
        <v>172</v>
      </c>
      <c r="B208" s="60" t="s">
        <v>171</v>
      </c>
      <c r="C208" s="60" t="s">
        <v>187</v>
      </c>
      <c r="D208" s="61">
        <v>3768</v>
      </c>
      <c r="E208" s="62">
        <v>44847</v>
      </c>
      <c r="F208" s="62" t="s">
        <v>37</v>
      </c>
      <c r="G208" s="62">
        <v>45211</v>
      </c>
      <c r="H208" s="63">
        <f t="shared" ca="1" si="10"/>
        <v>5</v>
      </c>
      <c r="I208" s="63">
        <v>0</v>
      </c>
      <c r="J208" s="63">
        <f t="shared" ca="1" si="11"/>
        <v>5</v>
      </c>
      <c r="K208" s="64">
        <f t="shared" ca="1" si="12"/>
        <v>2</v>
      </c>
      <c r="L208" s="60" t="s">
        <v>38</v>
      </c>
      <c r="M208" s="65"/>
    </row>
    <row r="209" spans="1:13" hidden="1" x14ac:dyDescent="0.25">
      <c r="A209" s="60" t="s">
        <v>172</v>
      </c>
      <c r="B209" s="60" t="s">
        <v>171</v>
      </c>
      <c r="C209" s="60" t="s">
        <v>188</v>
      </c>
      <c r="D209" s="61">
        <v>3591</v>
      </c>
      <c r="E209" s="62">
        <v>44774</v>
      </c>
      <c r="F209" s="62" t="s">
        <v>37</v>
      </c>
      <c r="G209" s="62">
        <v>45138</v>
      </c>
      <c r="H209" s="63">
        <f t="shared" ca="1" si="10"/>
        <v>10</v>
      </c>
      <c r="I209" s="63">
        <v>0</v>
      </c>
      <c r="J209" s="63">
        <f t="shared" ca="1" si="11"/>
        <v>10</v>
      </c>
      <c r="K209" s="64">
        <f t="shared" ca="1" si="12"/>
        <v>4</v>
      </c>
      <c r="L209" s="60" t="s">
        <v>38</v>
      </c>
      <c r="M209" s="65"/>
    </row>
    <row r="210" spans="1:13" hidden="1" x14ac:dyDescent="0.25">
      <c r="A210" s="60" t="s">
        <v>172</v>
      </c>
      <c r="B210" s="60" t="s">
        <v>171</v>
      </c>
      <c r="C210" s="60" t="s">
        <v>189</v>
      </c>
      <c r="D210" s="61">
        <v>3063</v>
      </c>
      <c r="E210" s="62">
        <v>44311</v>
      </c>
      <c r="F210" s="62" t="s">
        <v>37</v>
      </c>
      <c r="G210" s="62">
        <v>44675</v>
      </c>
      <c r="H210" s="63">
        <f t="shared" ca="1" si="10"/>
        <v>30</v>
      </c>
      <c r="I210" s="63">
        <v>0</v>
      </c>
      <c r="J210" s="63">
        <f t="shared" ca="1" si="11"/>
        <v>30</v>
      </c>
      <c r="K210" s="64">
        <f t="shared" ca="1" si="12"/>
        <v>12</v>
      </c>
      <c r="L210" s="60" t="s">
        <v>38</v>
      </c>
      <c r="M210" s="65"/>
    </row>
    <row r="211" spans="1:13" hidden="1" x14ac:dyDescent="0.25">
      <c r="A211" s="60" t="s">
        <v>172</v>
      </c>
      <c r="B211" s="60" t="s">
        <v>171</v>
      </c>
      <c r="C211" s="60" t="s">
        <v>189</v>
      </c>
      <c r="D211" s="61">
        <v>3063</v>
      </c>
      <c r="E211" s="62">
        <v>44676</v>
      </c>
      <c r="F211" s="62" t="s">
        <v>37</v>
      </c>
      <c r="G211" s="62">
        <v>45040</v>
      </c>
      <c r="H211" s="63">
        <f t="shared" ca="1" si="10"/>
        <v>17.5</v>
      </c>
      <c r="I211" s="63">
        <v>0</v>
      </c>
      <c r="J211" s="63">
        <f t="shared" ca="1" si="11"/>
        <v>17.5</v>
      </c>
      <c r="K211" s="64">
        <f t="shared" ca="1" si="12"/>
        <v>7</v>
      </c>
      <c r="L211" s="60" t="s">
        <v>38</v>
      </c>
      <c r="M211" s="65"/>
    </row>
    <row r="212" spans="1:13" hidden="1" x14ac:dyDescent="0.25">
      <c r="A212" s="60" t="s">
        <v>172</v>
      </c>
      <c r="B212" s="60" t="s">
        <v>171</v>
      </c>
      <c r="C212" s="60" t="s">
        <v>190</v>
      </c>
      <c r="D212" s="61">
        <v>3793</v>
      </c>
      <c r="E212" s="62">
        <v>44714</v>
      </c>
      <c r="F212" s="62" t="s">
        <v>37</v>
      </c>
      <c r="G212" s="62">
        <v>45078</v>
      </c>
      <c r="H212" s="63">
        <f t="shared" ca="1" si="10"/>
        <v>15</v>
      </c>
      <c r="I212" s="63">
        <v>0</v>
      </c>
      <c r="J212" s="63">
        <f t="shared" ca="1" si="11"/>
        <v>15</v>
      </c>
      <c r="K212" s="64">
        <f t="shared" ca="1" si="12"/>
        <v>6</v>
      </c>
      <c r="L212" s="60" t="s">
        <v>38</v>
      </c>
      <c r="M212" s="65"/>
    </row>
    <row r="213" spans="1:13" hidden="1" x14ac:dyDescent="0.25">
      <c r="A213" s="60" t="s">
        <v>152</v>
      </c>
      <c r="B213" s="60" t="s">
        <v>192</v>
      </c>
      <c r="C213" s="60" t="s">
        <v>191</v>
      </c>
      <c r="D213" s="61">
        <v>3133</v>
      </c>
      <c r="E213" s="62">
        <v>44683</v>
      </c>
      <c r="F213" s="62" t="s">
        <v>37</v>
      </c>
      <c r="G213" s="62">
        <v>45047</v>
      </c>
      <c r="H213" s="63">
        <f t="shared" ca="1" si="10"/>
        <v>17.5</v>
      </c>
      <c r="I213" s="63">
        <v>10</v>
      </c>
      <c r="J213" s="63">
        <f t="shared" ca="1" si="11"/>
        <v>7.5</v>
      </c>
      <c r="K213" s="64">
        <f t="shared" ca="1" si="12"/>
        <v>7</v>
      </c>
      <c r="L213" s="60" t="s">
        <v>38</v>
      </c>
      <c r="M213" s="65"/>
    </row>
  </sheetData>
  <sheetProtection sort="0" autoFilter="0"/>
  <autoFilter ref="A3:M213">
    <filterColumn colId="0">
      <filters>
        <filter val="William Rosas"/>
      </filters>
    </filterColumn>
    <filterColumn colId="4" showButton="0"/>
    <filterColumn colId="5" showButton="0"/>
  </autoFilter>
  <mergeCells count="1">
    <mergeCell ref="E3:G3"/>
  </mergeCells>
  <conditionalFormatting sqref="A4:M4">
    <cfRule type="expression" dxfId="18" priority="240">
      <formula>$M4-$G4&gt;=335</formula>
    </cfRule>
    <cfRule type="expression" dxfId="17" priority="247">
      <formula>$M$2-$G4&gt;=335</formula>
    </cfRule>
    <cfRule type="expression" dxfId="16" priority="248">
      <formula>$M4=""</formula>
    </cfRule>
    <cfRule type="expression" dxfId="15" priority="249">
      <formula>$M4-$G4&lt;335</formula>
    </cfRule>
  </conditionalFormatting>
  <conditionalFormatting sqref="A5:M213">
    <cfRule type="expression" dxfId="14" priority="224">
      <formula>$M5-$G5&gt;=335</formula>
    </cfRule>
    <cfRule type="expression" dxfId="13" priority="225">
      <formula>$M$2-$G5&gt;=335</formula>
    </cfRule>
    <cfRule type="expression" dxfId="12" priority="226">
      <formula>$M5=""</formula>
    </cfRule>
    <cfRule type="expression" dxfId="11" priority="227">
      <formula>$M5-$G5&lt;335</formula>
    </cfRule>
  </conditionalFormatting>
  <conditionalFormatting sqref="A4:M213">
    <cfRule type="containsBlanks" dxfId="10" priority="131">
      <formula>LEN(TRIM(A4))=0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tInicialGer">
                <anchor>
                  <from>
                    <xdr:col>10</xdr:col>
                    <xdr:colOff>66675</xdr:colOff>
                    <xdr:row>0</xdr:row>
                    <xdr:rowOff>161925</xdr:rowOff>
                  </from>
                  <to>
                    <xdr:col>11</xdr:col>
                    <xdr:colOff>571500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AB29"/>
  <sheetViews>
    <sheetView showGridLines="0" view="pageBreakPreview" zoomScale="115" zoomScaleNormal="100" zoomScaleSheetLayoutView="115" workbookViewId="0">
      <selection sqref="A1:X27"/>
    </sheetView>
  </sheetViews>
  <sheetFormatPr defaultRowHeight="15.75" x14ac:dyDescent="0.25"/>
  <cols>
    <col min="1" max="1" width="8.5703125" style="8" customWidth="1"/>
    <col min="2" max="3" width="4.42578125" style="8" customWidth="1"/>
    <col min="4" max="4" width="6" style="8" customWidth="1"/>
    <col min="5" max="5" width="3.42578125" style="8" customWidth="1"/>
    <col min="6" max="6" width="2" style="8" customWidth="1"/>
    <col min="7" max="7" width="3.42578125" style="8" customWidth="1"/>
    <col min="8" max="8" width="3.140625" style="8" customWidth="1"/>
    <col min="9" max="9" width="5" style="8" customWidth="1"/>
    <col min="10" max="10" width="8.85546875" style="8" customWidth="1"/>
    <col min="11" max="11" width="8.42578125" style="8" customWidth="1"/>
    <col min="12" max="12" width="5.28515625" style="8" customWidth="1"/>
    <col min="13" max="13" width="2" style="8" customWidth="1"/>
    <col min="14" max="14" width="2.42578125" style="8" customWidth="1"/>
    <col min="15" max="15" width="2" style="8" customWidth="1"/>
    <col min="16" max="16" width="3" style="8" customWidth="1"/>
    <col min="17" max="18" width="2" style="8" customWidth="1"/>
    <col min="19" max="19" width="3" style="8" customWidth="1"/>
    <col min="20" max="20" width="2.42578125" style="8" customWidth="1"/>
    <col min="21" max="23" width="2" style="8" customWidth="1"/>
    <col min="24" max="24" width="6.85546875" style="8" customWidth="1"/>
    <col min="25" max="25" width="9.140625" style="8"/>
    <col min="26" max="26" width="14.85546875" style="8" bestFit="1" customWidth="1"/>
    <col min="27" max="28" width="11.28515625" style="8" bestFit="1" customWidth="1"/>
    <col min="29" max="16384" width="9.140625" style="8"/>
  </cols>
  <sheetData>
    <row r="1" spans="1:28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8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8" ht="8.2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8" ht="18.75" x14ac:dyDescent="0.3">
      <c r="A4" s="101" t="s">
        <v>2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</row>
    <row r="5" spans="1:28" ht="3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1:28" ht="33" customHeight="1" x14ac:dyDescent="0.25">
      <c r="A6" s="7" t="s">
        <v>3</v>
      </c>
      <c r="B6" s="102" t="s">
        <v>4</v>
      </c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9"/>
      <c r="N6" s="9"/>
      <c r="O6" s="95" t="s">
        <v>5</v>
      </c>
      <c r="P6" s="95"/>
      <c r="Q6" s="95"/>
      <c r="R6" s="98">
        <f ca="1">solicitar!A6</f>
        <v>44915</v>
      </c>
      <c r="S6" s="88"/>
      <c r="T6" s="88"/>
      <c r="U6" s="88"/>
      <c r="V6" s="88"/>
      <c r="W6" s="17"/>
      <c r="X6" s="12"/>
    </row>
    <row r="7" spans="1:28" ht="33" customHeight="1" x14ac:dyDescent="0.25">
      <c r="A7" s="7" t="s">
        <v>7</v>
      </c>
      <c r="B7" s="99" t="str">
        <f>solicitar!B2</f>
        <v>William Rosas</v>
      </c>
      <c r="C7" s="99"/>
      <c r="D7" s="99"/>
      <c r="E7" s="99"/>
      <c r="F7" s="99"/>
      <c r="G7" s="99"/>
      <c r="H7" s="99"/>
      <c r="I7" s="99"/>
      <c r="J7" s="99"/>
      <c r="K7" s="99"/>
      <c r="L7" s="99"/>
      <c r="M7" s="7"/>
      <c r="N7" s="7"/>
      <c r="O7" s="87"/>
      <c r="P7" s="87"/>
      <c r="Q7" s="100"/>
      <c r="R7" s="100"/>
      <c r="S7" s="100"/>
      <c r="T7" s="100"/>
      <c r="U7" s="100"/>
      <c r="V7" s="100"/>
      <c r="W7" s="100"/>
      <c r="X7" s="100"/>
    </row>
    <row r="8" spans="1:2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</row>
    <row r="9" spans="1:2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8" x14ac:dyDescent="0.25">
      <c r="A10" s="7" t="s">
        <v>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8" ht="22.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8" ht="33" customHeight="1" x14ac:dyDescent="0.25">
      <c r="A12" s="7" t="s">
        <v>9</v>
      </c>
      <c r="B12" s="86">
        <f>solicitar!B3</f>
        <v>0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11"/>
      <c r="N12" s="11"/>
      <c r="O12" s="95" t="s">
        <v>10</v>
      </c>
      <c r="P12" s="95"/>
      <c r="Q12" s="86">
        <f>solicitar!C6</f>
        <v>0</v>
      </c>
      <c r="R12" s="86"/>
      <c r="S12" s="86"/>
      <c r="T12" s="86"/>
      <c r="U12" s="86"/>
      <c r="V12" s="86"/>
      <c r="W12" s="86"/>
      <c r="X12" s="11"/>
      <c r="Z12" s="83" t="s">
        <v>214</v>
      </c>
      <c r="AA12" s="83"/>
      <c r="AB12" s="83"/>
    </row>
    <row r="13" spans="1:28" ht="14.25" customHeight="1" x14ac:dyDescent="0.25">
      <c r="A13" s="7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1"/>
      <c r="N13" s="11"/>
      <c r="O13" s="13"/>
      <c r="P13" s="13"/>
      <c r="Q13" s="12"/>
      <c r="R13" s="12"/>
      <c r="S13" s="12"/>
      <c r="T13" s="12"/>
      <c r="U13" s="12"/>
      <c r="V13" s="12"/>
      <c r="W13" s="12"/>
      <c r="X13" s="11"/>
      <c r="Z13" s="37"/>
      <c r="AA13" s="37">
        <v>0</v>
      </c>
      <c r="AB13" s="37"/>
    </row>
    <row r="14" spans="1:28" ht="23.25" customHeight="1" x14ac:dyDescent="0.25">
      <c r="A14" s="97" t="s">
        <v>11</v>
      </c>
      <c r="B14" s="97"/>
      <c r="C14" s="97"/>
      <c r="D14" s="97"/>
      <c r="E14" s="98" t="str">
        <f>IF($AA$13=1,AA14,IF($AA$13=2,AB14,""))</f>
        <v/>
      </c>
      <c r="F14" s="88"/>
      <c r="G14" s="88"/>
      <c r="H14" s="88"/>
      <c r="I14" s="88"/>
      <c r="J14" s="12"/>
      <c r="K14" s="12"/>
      <c r="L14" s="12"/>
      <c r="M14" s="11"/>
      <c r="N14" s="11"/>
      <c r="O14" s="13"/>
      <c r="P14" s="13"/>
      <c r="Q14" s="12"/>
      <c r="R14" s="12"/>
      <c r="S14" s="12"/>
      <c r="T14" s="12"/>
      <c r="U14" s="12"/>
      <c r="V14" s="12"/>
      <c r="W14" s="12"/>
      <c r="X14" s="11"/>
      <c r="Z14" s="38" t="s">
        <v>205</v>
      </c>
      <c r="AA14" s="42">
        <f>solicitar!J6</f>
        <v>0</v>
      </c>
      <c r="AB14" s="42">
        <f>solicitar!J7</f>
        <v>0</v>
      </c>
    </row>
    <row r="15" spans="1:28" ht="23.25" customHeight="1" x14ac:dyDescent="0.25">
      <c r="A15" s="9"/>
      <c r="B15" s="9"/>
      <c r="C15" s="9"/>
      <c r="D15" s="9"/>
      <c r="E15" s="14"/>
      <c r="F15" s="10"/>
      <c r="G15" s="14"/>
      <c r="H15" s="10"/>
      <c r="I15" s="14"/>
      <c r="J15" s="12"/>
      <c r="K15" s="12"/>
      <c r="L15" s="12"/>
      <c r="M15" s="11"/>
      <c r="N15" s="11"/>
      <c r="O15" s="13"/>
      <c r="P15" s="13"/>
      <c r="Q15" s="12"/>
      <c r="R15" s="12"/>
      <c r="S15" s="12"/>
      <c r="T15" s="12"/>
      <c r="U15" s="12"/>
      <c r="V15" s="12"/>
      <c r="W15" s="12"/>
      <c r="X15" s="11"/>
      <c r="Z15" s="37"/>
      <c r="AA15" s="37"/>
      <c r="AB15" s="37"/>
    </row>
    <row r="16" spans="1:28" ht="24.95" customHeight="1" x14ac:dyDescent="0.25">
      <c r="A16" s="11"/>
      <c r="B16" s="89" t="s">
        <v>12</v>
      </c>
      <c r="C16" s="89"/>
      <c r="D16" s="89"/>
      <c r="E16" s="89"/>
      <c r="F16" s="89"/>
      <c r="G16" s="89"/>
      <c r="H16" s="89"/>
      <c r="I16" s="90" t="str">
        <f>IF($AA$13=1,AA16,IF($AA$13=2,AB16,""))</f>
        <v/>
      </c>
      <c r="J16" s="91"/>
      <c r="K16" s="12"/>
      <c r="L16" s="12"/>
      <c r="M16" s="11"/>
      <c r="N16" s="11"/>
      <c r="O16" s="13"/>
      <c r="P16" s="13"/>
      <c r="Q16" s="12"/>
      <c r="R16" s="12"/>
      <c r="S16" s="12"/>
      <c r="T16" s="12"/>
      <c r="U16" s="12"/>
      <c r="V16" s="12"/>
      <c r="W16" s="12"/>
      <c r="X16" s="11"/>
      <c r="Z16" s="38" t="s">
        <v>206</v>
      </c>
      <c r="AA16" s="39">
        <f>solicitar!G6</f>
        <v>0</v>
      </c>
      <c r="AB16" s="39">
        <f>solicitar!G7</f>
        <v>0</v>
      </c>
    </row>
    <row r="17" spans="1:28" ht="24.95" customHeight="1" x14ac:dyDescent="0.25">
      <c r="A17" s="11"/>
      <c r="B17" s="89" t="s">
        <v>13</v>
      </c>
      <c r="C17" s="89"/>
      <c r="D17" s="89"/>
      <c r="E17" s="89"/>
      <c r="F17" s="89"/>
      <c r="G17" s="89"/>
      <c r="H17" s="89"/>
      <c r="I17" s="90" t="str">
        <f>IF($AA$13=1,AA17,IF($AA$13=2,AB17,""))</f>
        <v/>
      </c>
      <c r="J17" s="91"/>
      <c r="K17" s="12"/>
      <c r="L17" s="12"/>
      <c r="M17" s="11"/>
      <c r="N17" s="11"/>
      <c r="O17" s="13"/>
      <c r="P17" s="13"/>
      <c r="Q17" s="12"/>
      <c r="R17" s="12"/>
      <c r="S17" s="12"/>
      <c r="T17" s="12"/>
      <c r="U17" s="12"/>
      <c r="V17" s="12"/>
      <c r="W17" s="12"/>
      <c r="X17" s="11"/>
      <c r="Z17" s="38" t="s">
        <v>207</v>
      </c>
      <c r="AA17" s="39">
        <f>AA16-AA18</f>
        <v>0</v>
      </c>
      <c r="AB17" s="39">
        <f>AB16-AB18</f>
        <v>0</v>
      </c>
    </row>
    <row r="18" spans="1:28" ht="24.95" customHeight="1" x14ac:dyDescent="0.25">
      <c r="A18" s="11"/>
      <c r="B18" s="89" t="s">
        <v>14</v>
      </c>
      <c r="C18" s="89"/>
      <c r="D18" s="89"/>
      <c r="E18" s="89"/>
      <c r="F18" s="89"/>
      <c r="G18" s="89"/>
      <c r="H18" s="89"/>
      <c r="I18" s="90" t="str">
        <f>IF($AA$13=1,AA18,IF($AA$13=2,AB18,""))</f>
        <v/>
      </c>
      <c r="J18" s="90"/>
      <c r="K18" s="12"/>
      <c r="L18" s="12"/>
      <c r="M18" s="11"/>
      <c r="N18" s="11"/>
      <c r="O18" s="13"/>
      <c r="P18" s="13"/>
      <c r="Q18" s="12"/>
      <c r="R18" s="12"/>
      <c r="S18" s="12"/>
      <c r="T18" s="12"/>
      <c r="U18" s="12"/>
      <c r="V18" s="12"/>
      <c r="W18" s="12"/>
      <c r="X18" s="11"/>
      <c r="Z18" s="38" t="s">
        <v>208</v>
      </c>
      <c r="AA18" s="37">
        <f>solicitar!K6</f>
        <v>0</v>
      </c>
      <c r="AB18" s="37">
        <f>solicitar!K7</f>
        <v>0</v>
      </c>
    </row>
    <row r="19" spans="1:28" ht="24.95" customHeight="1" x14ac:dyDescent="0.25">
      <c r="A19" s="9"/>
      <c r="B19" s="92" t="s">
        <v>15</v>
      </c>
      <c r="C19" s="92"/>
      <c r="D19" s="92"/>
      <c r="E19" s="92"/>
      <c r="F19" s="92"/>
      <c r="G19" s="92"/>
      <c r="H19" s="92"/>
      <c r="I19" s="93" t="str">
        <f>IF($AA$13=1,AA19,IF($AA$13=2,AB19,""))</f>
        <v/>
      </c>
      <c r="J19" s="94"/>
      <c r="K19" s="95"/>
      <c r="L19" s="95"/>
      <c r="M19" s="15"/>
      <c r="O19" s="16"/>
      <c r="P19" s="7"/>
      <c r="Q19" s="7"/>
      <c r="R19" s="7"/>
      <c r="S19" s="15"/>
      <c r="U19" s="16"/>
      <c r="V19" s="7"/>
      <c r="W19" s="7"/>
      <c r="X19" s="7"/>
      <c r="Z19" s="38" t="s">
        <v>209</v>
      </c>
      <c r="AA19" s="37">
        <f>solicitar!L6</f>
        <v>0</v>
      </c>
      <c r="AB19" s="37">
        <f>solicitar!L7</f>
        <v>0</v>
      </c>
    </row>
    <row r="20" spans="1:28" ht="24.95" customHeight="1" x14ac:dyDescent="0.25">
      <c r="A20" s="9"/>
      <c r="B20" s="13"/>
      <c r="C20" s="13"/>
      <c r="D20" s="13"/>
      <c r="E20" s="13"/>
      <c r="F20" s="13"/>
      <c r="G20" s="13"/>
      <c r="H20" s="13"/>
      <c r="I20" s="17"/>
      <c r="J20" s="17"/>
      <c r="K20" s="13"/>
      <c r="L20" s="13"/>
      <c r="M20" s="15"/>
      <c r="O20" s="16"/>
      <c r="P20" s="7"/>
      <c r="Q20" s="7"/>
      <c r="R20" s="7"/>
      <c r="S20" s="15"/>
      <c r="U20" s="16"/>
      <c r="V20" s="7"/>
      <c r="W20" s="7"/>
      <c r="X20" s="7"/>
    </row>
    <row r="21" spans="1:28" ht="32.1" customHeight="1" x14ac:dyDescent="0.25">
      <c r="A21" s="96" t="s">
        <v>16</v>
      </c>
      <c r="B21" s="96"/>
      <c r="C21" s="96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8" ht="32.1" customHeight="1" x14ac:dyDescent="0.25">
      <c r="A22" s="96" t="s">
        <v>17</v>
      </c>
      <c r="B22" s="96"/>
      <c r="C22" s="96"/>
      <c r="D22" s="96"/>
      <c r="E22" s="86"/>
      <c r="F22" s="86"/>
      <c r="G22" s="86"/>
      <c r="H22" s="86"/>
      <c r="I22" s="86"/>
      <c r="J22" s="86"/>
      <c r="K22" s="87" t="s">
        <v>18</v>
      </c>
      <c r="L22" s="87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</row>
    <row r="23" spans="1:28" ht="32.1" customHeight="1" x14ac:dyDescent="0.25">
      <c r="A23" s="7" t="s">
        <v>19</v>
      </c>
      <c r="B23" s="86"/>
      <c r="C23" s="86"/>
      <c r="D23" s="86"/>
      <c r="E23" s="86"/>
      <c r="F23" s="86"/>
      <c r="G23" s="86"/>
      <c r="H23" s="86"/>
      <c r="I23" s="86"/>
      <c r="J23" s="86"/>
      <c r="K23" s="87" t="s">
        <v>20</v>
      </c>
      <c r="L23" s="87"/>
      <c r="M23" s="87"/>
      <c r="N23" s="87"/>
      <c r="O23" s="88"/>
      <c r="P23" s="88"/>
      <c r="Q23" s="10" t="s">
        <v>6</v>
      </c>
      <c r="R23" s="88"/>
      <c r="S23" s="88"/>
      <c r="T23" s="10" t="s">
        <v>6</v>
      </c>
      <c r="U23" s="88"/>
      <c r="V23" s="88"/>
      <c r="W23" s="88"/>
      <c r="X23" s="7"/>
    </row>
    <row r="24" spans="1:28" ht="21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8" ht="32.1" customHeight="1" x14ac:dyDescent="0.25">
      <c r="A25" s="88"/>
      <c r="B25" s="88"/>
      <c r="C25" s="88"/>
      <c r="D25" s="88"/>
      <c r="E25" s="88"/>
      <c r="F25" s="88"/>
      <c r="G25" s="88"/>
      <c r="H25" s="88"/>
      <c r="I25" s="88"/>
      <c r="J25" s="7"/>
      <c r="K25" s="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</row>
    <row r="26" spans="1:28" x14ac:dyDescent="0.25">
      <c r="A26" s="84" t="s">
        <v>21</v>
      </c>
      <c r="B26" s="84"/>
      <c r="C26" s="84"/>
      <c r="D26" s="84"/>
      <c r="E26" s="84"/>
      <c r="F26" s="84"/>
      <c r="G26" s="84"/>
      <c r="H26" s="84"/>
      <c r="I26" s="84"/>
      <c r="J26" s="7"/>
      <c r="K26" s="7"/>
      <c r="L26" s="84" t="s">
        <v>4</v>
      </c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</row>
    <row r="27" spans="1:28" ht="12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85" t="s">
        <v>22</v>
      </c>
      <c r="T27" s="85"/>
      <c r="U27" s="85"/>
      <c r="V27" s="85"/>
      <c r="W27" s="85"/>
      <c r="X27" s="85"/>
    </row>
    <row r="28" spans="1:28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8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</sheetData>
  <mergeCells count="37">
    <mergeCell ref="B7:L7"/>
    <mergeCell ref="O7:P7"/>
    <mergeCell ref="Q7:X7"/>
    <mergeCell ref="A4:X4"/>
    <mergeCell ref="B6:L6"/>
    <mergeCell ref="O6:Q6"/>
    <mergeCell ref="R6:V6"/>
    <mergeCell ref="B12:L12"/>
    <mergeCell ref="O12:P12"/>
    <mergeCell ref="Q12:W12"/>
    <mergeCell ref="A14:D14"/>
    <mergeCell ref="B16:H16"/>
    <mergeCell ref="I16:J16"/>
    <mergeCell ref="E14:I14"/>
    <mergeCell ref="B19:H19"/>
    <mergeCell ref="I19:J19"/>
    <mergeCell ref="K19:L19"/>
    <mergeCell ref="A21:C21"/>
    <mergeCell ref="A22:D22"/>
    <mergeCell ref="E22:J22"/>
    <mergeCell ref="K22:L22"/>
    <mergeCell ref="Z12:AB12"/>
    <mergeCell ref="A26:I26"/>
    <mergeCell ref="L26:X26"/>
    <mergeCell ref="S27:X27"/>
    <mergeCell ref="B23:J23"/>
    <mergeCell ref="K23:N23"/>
    <mergeCell ref="O23:P23"/>
    <mergeCell ref="R23:S23"/>
    <mergeCell ref="U23:W23"/>
    <mergeCell ref="A25:I25"/>
    <mergeCell ref="L25:X25"/>
    <mergeCell ref="M22:X22"/>
    <mergeCell ref="B17:H17"/>
    <mergeCell ref="I17:J17"/>
    <mergeCell ref="B18:H18"/>
    <mergeCell ref="I18:J18"/>
  </mergeCells>
  <pageMargins left="0.39370078740157483" right="0.39370078740157483" top="0.39370078740157483" bottom="0.39370078740157483" header="0.31496062992125984" footer="0.31496062992125984"/>
  <pageSetup paperSize="9" orientation="portrait" r:id="rId1"/>
  <colBreaks count="1" manualBreakCount="1">
    <brk id="24" max="35" man="1"/>
  </colBreaks>
  <drawing r:id="rId2"/>
  <legacyDrawing r:id="rId3"/>
  <oleObjects>
    <mc:AlternateContent xmlns:mc="http://schemas.openxmlformats.org/markup-compatibility/2006">
      <mc:Choice Requires="x14">
        <oleObject progId="CorelDraw.Graphic.17" shapeId="4097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9525</xdr:rowOff>
              </from>
              <to>
                <xdr:col>23</xdr:col>
                <xdr:colOff>409575</xdr:colOff>
                <xdr:row>2</xdr:row>
                <xdr:rowOff>38100</xdr:rowOff>
              </to>
            </anchor>
          </objectPr>
        </oleObject>
      </mc:Choice>
      <mc:Fallback>
        <oleObject progId="CorelDraw.Graphic.17" shapeId="4097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B1:I8"/>
  <sheetViews>
    <sheetView showGridLines="0" showRowColHeaders="0" workbookViewId="0">
      <pane ySplit="1" topLeftCell="A2" activePane="bottomLeft" state="frozen"/>
      <selection pane="bottomLeft" activeCell="B3" sqref="B3:B7"/>
    </sheetView>
  </sheetViews>
  <sheetFormatPr defaultColWidth="9.140625" defaultRowHeight="15" x14ac:dyDescent="0.25"/>
  <cols>
    <col min="1" max="8" width="9.140625" style="19" customWidth="1"/>
    <col min="9" max="9" width="66.140625" style="19" customWidth="1"/>
    <col min="10" max="16384" width="9.140625" style="19"/>
  </cols>
  <sheetData>
    <row r="1" spans="2:9" ht="45" customHeight="1" x14ac:dyDescent="0.25">
      <c r="B1" s="20" t="s">
        <v>201</v>
      </c>
      <c r="F1" s="71"/>
      <c r="G1" s="71"/>
      <c r="H1" s="72" t="s">
        <v>198</v>
      </c>
      <c r="I1" s="70" t="s">
        <v>221</v>
      </c>
    </row>
    <row r="3" spans="2:9" x14ac:dyDescent="0.25">
      <c r="B3" s="60" t="s">
        <v>119</v>
      </c>
    </row>
    <row r="4" spans="2:9" x14ac:dyDescent="0.25">
      <c r="B4" s="60" t="s">
        <v>120</v>
      </c>
    </row>
    <row r="5" spans="2:9" x14ac:dyDescent="0.25">
      <c r="B5" s="60" t="s">
        <v>121</v>
      </c>
      <c r="F5" s="19" t="s">
        <v>220</v>
      </c>
    </row>
    <row r="6" spans="2:9" x14ac:dyDescent="0.25">
      <c r="B6"/>
    </row>
    <row r="7" spans="2:9" x14ac:dyDescent="0.25">
      <c r="B7"/>
    </row>
    <row r="8" spans="2:9" x14ac:dyDescent="0.25">
      <c r="B8"/>
    </row>
  </sheetData>
  <sheetProtection sort="0" autoFilter="0"/>
  <conditionalFormatting sqref="B3:B5">
    <cfRule type="expression" dxfId="4" priority="2">
      <formula>$M3-$G3&gt;=335</formula>
    </cfRule>
    <cfRule type="expression" dxfId="3" priority="3">
      <formula>$M$2-$G3&gt;=335</formula>
    </cfRule>
    <cfRule type="expression" dxfId="2" priority="4">
      <formula>$M3=""</formula>
    </cfRule>
    <cfRule type="expression" dxfId="1" priority="5">
      <formula>$M3-$G3&lt;335</formula>
    </cfRule>
  </conditionalFormatting>
  <conditionalFormatting sqref="B3:B5">
    <cfRule type="containsBlanks" dxfId="0" priority="1">
      <formula>LEN(TRIM(B3))=0</formula>
    </cfRule>
  </conditionalFormatting>
  <hyperlinks>
    <hyperlink ref="I1" r:id="rId1" display="william.rosas@prensajundiai.com"/>
  </hyperlink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Ger">
                <anchor>
                  <from>
                    <xdr:col>3</xdr:col>
                    <xdr:colOff>0</xdr:colOff>
                    <xdr:row>0</xdr:row>
                    <xdr:rowOff>142875</xdr:rowOff>
                  </from>
                  <to>
                    <xdr:col>4</xdr:col>
                    <xdr:colOff>504825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inicial</vt:lpstr>
      <vt:lpstr>solicitar</vt:lpstr>
      <vt:lpstr>Geren</vt:lpstr>
      <vt:lpstr>FO</vt:lpstr>
      <vt:lpstr>nomes</vt:lpstr>
      <vt:lpstr>FO!Area_de_impressao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Rodrigues</dc:creator>
  <cp:lastModifiedBy>William Rosas</cp:lastModifiedBy>
  <cp:lastPrinted>2022-07-11T16:00:52Z</cp:lastPrinted>
  <dcterms:created xsi:type="dcterms:W3CDTF">2022-07-05T19:17:13Z</dcterms:created>
  <dcterms:modified xsi:type="dcterms:W3CDTF">2022-12-20T14:38:09Z</dcterms:modified>
</cp:coreProperties>
</file>